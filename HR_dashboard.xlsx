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files\excel_projects\"/>
    </mc:Choice>
  </mc:AlternateContent>
  <xr:revisionPtr revIDLastSave="0" documentId="13_ncr:1_{EA7637CB-40D5-426D-9111-393CC058E828}" xr6:coauthVersionLast="47" xr6:coauthVersionMax="47" xr10:uidLastSave="{00000000-0000-0000-0000-000000000000}"/>
  <bookViews>
    <workbookView xWindow="-120" yWindow="-120" windowWidth="29040" windowHeight="15720" activeTab="2" xr2:uid="{00000000-000D-0000-FFFF-FFFF00000000}"/>
  </bookViews>
  <sheets>
    <sheet name="HR Data" sheetId="2" r:id="rId1"/>
    <sheet name="KPIs" sheetId="3" r:id="rId2"/>
    <sheet name="Dashboard" sheetId="1" r:id="rId3"/>
  </sheets>
  <definedNames>
    <definedName name="ExternalData_1" localSheetId="0" hidden="1">'HR Data'!$A$1:$AR$1471</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3" l="1"/>
  <c r="B15" i="3"/>
  <c r="A15" i="3"/>
  <c r="B2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505FBF-2354-452C-8683-6B3244B10C99}" keepAlive="1" name="Query - HR DATA_Excel xlsx - Data" description="Connection to the 'HR DATA_Excel xlsx - Data' query in the workbook." type="5" refreshedVersion="8" background="1" saveData="1">
    <dbPr connection="Provider=Microsoft.Mashup.OleDb.1;Data Source=$Workbook$;Location=&quot;HR DATA_Excel xlsx - Data&quot;;Extended Properties=&quot;&quot;" command="SELECT * FROM [HR DATA_Excel xlsx - Data]"/>
  </connection>
</connections>
</file>

<file path=xl/sharedStrings.xml><?xml version="1.0" encoding="utf-8"?>
<sst xmlns="http://schemas.openxmlformats.org/spreadsheetml/2006/main" count="19203" uniqueCount="1568">
  <si>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</si>
  <si>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</si>
  <si>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</si>
  <si>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</si>
  <si>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</si>
  <si>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</si>
  <si>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</si>
  <si>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</si>
  <si>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</si>
  <si>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</si>
  <si>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</si>
  <si>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</si>
  <si>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</si>
  <si>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</si>
  <si>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</si>
  <si>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</si>
  <si>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</si>
  <si>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</si>
  <si>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</si>
  <si>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</si>
  <si>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</si>
  <si>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</si>
  <si>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</si>
  <si>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</si>
  <si>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</si>
  <si>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</si>
  <si>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</si>
  <si>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</si>
  <si>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</si>
  <si>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</si>
  <si>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</si>
  <si>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</si>
  <si>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</si>
  <si>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</si>
  <si>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</si>
  <si>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</si>
  <si>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</si>
  <si>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</si>
  <si>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</si>
  <si>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</si>
  <si>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</si>
  <si>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</si>
  <si>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</si>
  <si>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</si>
  <si>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</si>
  <si>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</si>
  <si>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</si>
  <si>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</si>
  <si>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</si>
  <si>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</si>
  <si>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</si>
  <si>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</si>
  <si>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</si>
  <si>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</si>
  <si>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</si>
  <si>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</si>
  <si>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</si>
  <si>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</si>
  <si>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</si>
  <si>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</si>
  <si>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</si>
  <si>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</si>
  <si>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</si>
  <si>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</si>
  <si>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</si>
  <si>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</si>
  <si>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</si>
  <si>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</si>
  <si>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</si>
  <si>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</si>
  <si>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</si>
  <si>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</si>
  <si>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</si>
  <si>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</si>
  <si>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</si>
  <si>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</si>
  <si>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</si>
  <si>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</si>
  <si>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</si>
  <si>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</si>
  <si>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</si>
  <si>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</si>
  <si>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</si>
  <si>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</si>
  <si>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</si>
  <si>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</si>
  <si>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</si>
  <si>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</si>
  <si>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</si>
  <si>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</si>
  <si>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</si>
  <si>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</si>
  <si>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</si>
  <si>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</si>
  <si>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</si>
  <si>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</si>
  <si>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</si>
  <si>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</si>
  <si>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</si>
  <si>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</si>
  <si>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</si>
  <si>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</si>
  <si>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</si>
  <si>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</si>
  <si>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</si>
  <si>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</si>
  <si>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</si>
  <si>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</si>
  <si>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</si>
  <si>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</si>
  <si>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</si>
  <si>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</si>
  <si>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</si>
  <si>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</si>
  <si>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</si>
  <si>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</si>
  <si>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</si>
  <si>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</si>
  <si>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</si>
  <si>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</si>
  <si>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</si>
  <si>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</si>
  <si>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</si>
  <si>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</si>
  <si>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</si>
  <si>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</si>
  <si>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</si>
  <si>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</si>
  <si>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</si>
  <si>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</si>
  <si>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</si>
  <si>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</si>
  <si>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</si>
  <si>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</si>
  <si>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</si>
  <si>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</si>
  <si>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</si>
  <si>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</si>
  <si>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</si>
  <si>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</si>
  <si>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</si>
  <si>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</si>
  <si>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</si>
  <si>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</si>
  <si>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</si>
  <si>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</si>
  <si>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</si>
  <si>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</si>
  <si>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</si>
  <si>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</si>
  <si>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</si>
  <si>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</si>
  <si>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</si>
  <si>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</si>
  <si>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</si>
  <si>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</si>
  <si>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</si>
  <si>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</si>
  <si>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</si>
  <si>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</si>
  <si>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</si>
  <si>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</si>
  <si>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</si>
  <si>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</si>
  <si>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</si>
  <si>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</si>
  <si>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</si>
  <si>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</si>
  <si>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</si>
  <si>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</si>
  <si>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</si>
  <si>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</si>
  <si>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</si>
  <si>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</si>
  <si>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</si>
  <si>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</si>
  <si>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</si>
  <si>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</si>
  <si>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</si>
  <si>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</si>
  <si>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</si>
  <si>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</si>
  <si>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</si>
  <si>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</si>
  <si>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</si>
  <si>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</si>
  <si>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</si>
  <si>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</si>
  <si>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</si>
  <si>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</si>
  <si>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</si>
  <si>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</si>
  <si>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</si>
  <si>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</si>
  <si>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</si>
  <si>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</si>
  <si>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</si>
  <si>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</si>
  <si>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</si>
  <si>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</si>
  <si>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</si>
  <si>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</si>
  <si>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</si>
  <si>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</si>
  <si>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</si>
  <si>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</si>
  <si>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</si>
  <si>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</si>
  <si>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</si>
  <si>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</si>
  <si>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</si>
  <si>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</si>
  <si>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</si>
  <si>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</si>
  <si>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</si>
  <si>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</si>
  <si>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</si>
  <si>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</si>
  <si>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</si>
  <si>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</si>
  <si>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</si>
  <si>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</si>
  <si>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</si>
  <si>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</si>
  <si>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</si>
  <si>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</si>
  <si>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</si>
  <si>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</si>
  <si>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</si>
  <si>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</si>
  <si>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</si>
  <si>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</si>
  <si>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</si>
  <si>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</si>
  <si>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</si>
  <si>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</si>
  <si>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</si>
  <si>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</si>
  <si>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</si>
  <si>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</si>
  <si>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</si>
  <si>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</si>
  <si>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</si>
  <si>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</si>
  <si>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</si>
  <si>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</si>
  <si>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</si>
  <si>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</si>
  <si>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</si>
  <si>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</si>
  <si>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</si>
  <si>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</si>
  <si>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</si>
  <si>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</si>
  <si>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</si>
  <si>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</si>
  <si>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</si>
  <si>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</si>
  <si>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</si>
  <si>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</si>
  <si>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</si>
  <si>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</si>
  <si>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</si>
  <si>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</si>
  <si>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</si>
  <si>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</si>
  <si>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</si>
  <si>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</si>
  <si>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</si>
  <si>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</si>
  <si>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</si>
  <si>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</si>
  <si>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</si>
  <si>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</si>
  <si>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</si>
  <si>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</si>
  <si>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</si>
  <si>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</si>
  <si>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</si>
  <si>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</si>
  <si>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</si>
  <si>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</si>
  <si>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</si>
  <si>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</si>
  <si>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</si>
  <si>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</si>
  <si>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</si>
  <si>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</si>
  <si>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</si>
  <si>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</si>
  <si>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</si>
  <si>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</si>
  <si>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</si>
  <si>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</si>
  <si>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</si>
  <si>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</si>
  <si>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</si>
  <si>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</si>
  <si>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</si>
  <si>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</si>
  <si>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</si>
  <si>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</si>
  <si>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</si>
  <si>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</si>
  <si>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</si>
  <si>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</si>
  <si>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</si>
  <si>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</si>
  <si>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</si>
  <si>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</si>
  <si>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</si>
  <si>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</si>
  <si>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</si>
  <si>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</si>
  <si>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</si>
  <si>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</si>
  <si>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</si>
  <si>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</si>
  <si>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</si>
  <si>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</si>
  <si>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</si>
  <si>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</si>
  <si>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</si>
  <si>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</si>
  <si>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</si>
  <si>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</si>
  <si>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</si>
  <si>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</si>
  <si>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</si>
  <si>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</si>
  <si>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</si>
  <si>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</si>
  <si>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</si>
  <si>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</si>
  <si>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</si>
  <si>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</si>
  <si>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</si>
  <si>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</si>
  <si>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</si>
  <si>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</si>
  <si>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</si>
  <si>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</si>
  <si>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</si>
  <si>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</si>
  <si>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</si>
  <si>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</si>
  <si>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</si>
  <si>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</si>
  <si>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</si>
  <si>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</si>
  <si>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</si>
  <si>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</si>
  <si>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</si>
  <si>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</si>
  <si>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</si>
  <si>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</si>
  <si>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</si>
  <si>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</si>
  <si>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</si>
  <si>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</si>
  <si>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</si>
  <si>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</si>
  <si>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</si>
  <si>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</si>
  <si>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</si>
  <si>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</si>
  <si>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</si>
  <si>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</si>
  <si>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</si>
  <si>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</si>
  <si>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</si>
  <si>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</si>
  <si>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</si>
  <si>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</si>
  <si>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</si>
  <si>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</si>
  <si>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</si>
  <si>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</si>
  <si>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</si>
  <si>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</si>
  <si>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</si>
  <si>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</si>
  <si>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</si>
  <si>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</si>
  <si>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</si>
  <si>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</si>
  <si>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</si>
  <si>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</si>
  <si>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</si>
  <si>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</si>
  <si>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</si>
  <si>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</si>
  <si>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</si>
  <si>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</si>
  <si>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</si>
  <si>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</si>
  <si>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</si>
  <si>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</si>
  <si>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</si>
  <si>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</si>
  <si>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</si>
  <si>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</si>
  <si>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</si>
  <si>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</si>
  <si>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</si>
  <si>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</si>
  <si>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</si>
  <si>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</si>
  <si>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</si>
  <si>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</si>
  <si>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</si>
  <si>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</si>
  <si>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</si>
  <si>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</si>
  <si>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</si>
  <si>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</si>
  <si>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</si>
  <si>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</si>
  <si>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</si>
  <si>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</si>
  <si>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</si>
  <si>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</si>
  <si>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</si>
  <si>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</si>
  <si>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</si>
  <si>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</si>
  <si>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</si>
  <si>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</si>
  <si>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</si>
  <si>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</si>
  <si>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</si>
  <si>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</si>
  <si>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</si>
  <si>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</si>
  <si>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</si>
  <si>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</si>
  <si>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</si>
  <si>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</si>
  <si>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</si>
  <si>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</si>
  <si>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</si>
  <si>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</si>
  <si>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</si>
  <si>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</si>
  <si>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</si>
  <si>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</si>
  <si>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</si>
  <si>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</si>
  <si>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</si>
  <si>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</si>
  <si>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</si>
  <si>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</si>
  <si>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</si>
  <si>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</si>
  <si>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</si>
  <si>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</si>
  <si>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</si>
  <si>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</si>
  <si>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</si>
  <si>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</si>
  <si>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</si>
  <si>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</si>
  <si>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</si>
  <si>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</si>
  <si>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</si>
  <si>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</si>
  <si>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</si>
  <si>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</si>
  <si>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</si>
  <si>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</si>
  <si>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</si>
  <si>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</si>
  <si>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</si>
  <si>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</si>
  <si>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</si>
  <si>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</si>
  <si>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</si>
  <si>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</si>
  <si>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</si>
  <si>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</si>
  <si>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</si>
  <si>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</si>
  <si>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</si>
  <si>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</si>
  <si>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</si>
  <si>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</si>
  <si>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</si>
  <si>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</si>
  <si>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</si>
  <si>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</si>
  <si>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</si>
  <si>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</si>
  <si>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</si>
  <si>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</si>
  <si>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</si>
  <si>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</si>
  <si>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</si>
  <si>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</si>
  <si>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</si>
  <si>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</si>
  <si>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</si>
  <si>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</si>
  <si>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</si>
  <si>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</si>
  <si>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</si>
  <si>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</si>
  <si>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</si>
  <si>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</si>
  <si>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</si>
  <si>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</si>
  <si>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</si>
  <si>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</si>
  <si>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</si>
  <si>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</si>
  <si>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</si>
  <si>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</si>
  <si>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</si>
  <si>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</si>
  <si>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</si>
  <si>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</si>
  <si>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</si>
  <si>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</si>
  <si>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</si>
  <si>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</si>
  <si>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</si>
  <si>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</si>
  <si>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</si>
  <si>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</si>
  <si>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</si>
  <si>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</si>
  <si>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</si>
  <si>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</si>
  <si>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</si>
  <si>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</si>
  <si>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</si>
  <si>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</si>
  <si>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</si>
  <si>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</si>
  <si>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</si>
  <si>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</si>
  <si>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</si>
  <si>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</si>
  <si>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</si>
  <si>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</si>
  <si>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</si>
  <si>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</si>
  <si>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</si>
  <si>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</si>
  <si>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</si>
  <si>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</si>
  <si>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</si>
  <si>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</si>
  <si>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</si>
  <si>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</si>
  <si>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</si>
  <si>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</si>
  <si>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</si>
  <si>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</si>
  <si>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</si>
  <si>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</si>
  <si>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</si>
  <si>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</si>
  <si>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</si>
  <si>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</si>
  <si>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</si>
  <si>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</si>
  <si>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</si>
  <si>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</si>
  <si>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</si>
  <si>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</si>
  <si>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</si>
  <si>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</si>
  <si>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</si>
  <si>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</si>
  <si>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</si>
  <si>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</si>
  <si>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</si>
  <si>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</si>
  <si>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</si>
  <si>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</si>
  <si>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</si>
  <si>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</si>
  <si>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</si>
  <si>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</si>
  <si>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</si>
  <si>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</si>
  <si>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</si>
  <si>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</si>
  <si>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</si>
  <si>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</si>
  <si>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</si>
  <si>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</si>
  <si>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</si>
  <si>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</si>
  <si>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</si>
  <si>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</si>
  <si>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</si>
  <si>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</si>
  <si>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</si>
  <si>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</si>
  <si>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</si>
  <si>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</si>
  <si>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</si>
  <si>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</si>
  <si>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</si>
  <si>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</si>
  <si>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</si>
  <si>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</si>
  <si>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</si>
  <si>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</si>
  <si>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</si>
  <si>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</si>
  <si>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</si>
  <si>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</si>
  <si>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</si>
  <si>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</si>
  <si>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</si>
  <si>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</si>
  <si>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</si>
  <si>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</si>
  <si>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</si>
  <si>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</si>
  <si>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</si>
  <si>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</si>
  <si>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</si>
  <si>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</si>
  <si>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</si>
  <si>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</si>
  <si>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</si>
  <si>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</si>
  <si>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</si>
  <si>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</si>
  <si>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</si>
  <si>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</si>
  <si>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</si>
  <si>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</si>
  <si>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</si>
  <si>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</si>
  <si>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</si>
  <si>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</si>
  <si>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</si>
  <si>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</si>
  <si>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</si>
  <si>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</si>
  <si>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</si>
  <si>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</si>
  <si>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</si>
  <si>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</si>
  <si>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</si>
  <si>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</si>
  <si>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</si>
  <si>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</si>
  <si>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</si>
  <si>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</si>
  <si>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</si>
  <si>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</si>
  <si>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</si>
  <si>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</si>
  <si>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</si>
  <si>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</si>
  <si>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</si>
  <si>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</si>
  <si>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</si>
  <si>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</si>
  <si>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</si>
  <si>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</si>
  <si>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</si>
  <si>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</si>
  <si>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</si>
  <si>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</si>
  <si>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</si>
  <si>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</si>
  <si>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</si>
  <si>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</si>
  <si>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</si>
  <si>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</si>
  <si>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</si>
  <si>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</si>
  <si>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</si>
  <si>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</si>
  <si>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</si>
  <si>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</si>
  <si>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</si>
  <si>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</si>
  <si>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</si>
  <si>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</si>
  <si>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</si>
  <si>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</si>
  <si>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</si>
  <si>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</si>
  <si>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</si>
  <si>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</si>
  <si>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</si>
  <si>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</si>
  <si>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</si>
  <si>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</si>
  <si>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</si>
  <si>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</si>
  <si>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</si>
  <si>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</si>
  <si>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</si>
  <si>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</si>
  <si>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</si>
  <si>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</si>
  <si>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</si>
  <si>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</si>
  <si>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</si>
  <si>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</si>
  <si>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</si>
  <si>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</si>
  <si>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</si>
  <si>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</si>
  <si>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</si>
  <si>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</si>
  <si>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</si>
  <si>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</si>
  <si>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</si>
  <si>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</si>
  <si>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</si>
  <si>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</si>
  <si>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</si>
  <si>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</si>
  <si>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</si>
  <si>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</si>
  <si>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</si>
  <si>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</si>
  <si>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</si>
  <si>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</si>
  <si>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</si>
  <si>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</si>
  <si>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</si>
  <si>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</si>
  <si>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</si>
  <si>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</si>
  <si>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</si>
  <si>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</si>
  <si>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</si>
  <si>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</si>
  <si>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</si>
  <si>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</si>
  <si>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</si>
  <si>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</si>
  <si>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</si>
  <si>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</si>
  <si>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</si>
  <si>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</si>
  <si>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</si>
  <si>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</si>
  <si>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</si>
  <si>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</si>
  <si>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</si>
  <si>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</si>
  <si>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</si>
  <si>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</si>
  <si>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</si>
  <si>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</si>
  <si>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</si>
  <si>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</si>
  <si>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</si>
  <si>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</si>
  <si>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</si>
  <si>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</si>
  <si>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</si>
  <si>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</si>
  <si>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</si>
  <si>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</si>
  <si>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</si>
  <si>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</si>
  <si>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</si>
  <si>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</si>
  <si>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</si>
  <si>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</si>
  <si>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</si>
  <si>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</si>
  <si>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</si>
  <si>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</si>
  <si>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</si>
  <si>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</si>
  <si>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</si>
  <si>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</si>
  <si>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</si>
  <si>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</si>
  <si>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</si>
  <si>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</si>
  <si>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</si>
  <si>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</si>
  <si>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</si>
  <si>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</si>
  <si>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</si>
  <si>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</si>
  <si>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</si>
  <si>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</si>
  <si>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</si>
  <si>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</si>
  <si>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</si>
  <si>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</si>
  <si>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</si>
  <si>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</si>
  <si>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</si>
  <si>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</si>
  <si>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</si>
  <si>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</si>
  <si>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</si>
  <si>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</si>
  <si>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</si>
  <si>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</si>
  <si>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</si>
  <si>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</si>
  <si>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</si>
  <si>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</si>
  <si>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</si>
  <si>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</si>
  <si>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</si>
  <si>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</si>
  <si>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</si>
  <si>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</si>
  <si>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</si>
  <si>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</si>
  <si>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</si>
  <si>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</si>
  <si>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</si>
  <si>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</si>
  <si>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</si>
  <si>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</si>
  <si>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</si>
  <si>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</si>
  <si>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</si>
  <si>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</si>
  <si>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</si>
  <si>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</si>
  <si>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</si>
  <si>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</si>
  <si>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</si>
  <si>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</si>
  <si>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</si>
  <si>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</si>
  <si>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</si>
  <si>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</si>
  <si>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</si>
  <si>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</si>
  <si>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</si>
  <si>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</si>
  <si>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</si>
  <si>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</si>
  <si>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</si>
  <si>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</si>
  <si>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</si>
  <si>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</si>
  <si>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</si>
  <si>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</si>
  <si>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</si>
  <si>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</si>
  <si>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</si>
  <si>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</si>
  <si>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</si>
  <si>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</si>
  <si>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</si>
  <si>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</si>
  <si>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</si>
  <si>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</si>
  <si>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</si>
  <si>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</si>
  <si>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</si>
  <si>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</si>
  <si>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</si>
  <si>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</si>
  <si>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</si>
  <si>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</si>
  <si>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</si>
  <si>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</si>
  <si>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</si>
  <si>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</si>
  <si>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</si>
  <si>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</si>
  <si>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</si>
  <si>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</si>
  <si>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</si>
  <si>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</si>
  <si>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</si>
  <si>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</si>
  <si>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</si>
  <si>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</si>
  <si>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</si>
  <si>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</si>
  <si>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</si>
  <si>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</si>
  <si>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</si>
  <si>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</si>
  <si>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</si>
  <si>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</si>
  <si>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</si>
  <si>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</si>
  <si>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</si>
  <si>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</si>
  <si>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</si>
  <si>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</si>
  <si>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</si>
  <si>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</si>
  <si>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</si>
  <si>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</si>
  <si>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</si>
  <si>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</si>
  <si>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</si>
  <si>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</si>
  <si>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</si>
  <si>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</si>
  <si>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</si>
  <si>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</si>
  <si>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</si>
  <si>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</si>
  <si>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</si>
  <si>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</si>
  <si>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</si>
  <si>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</si>
  <si>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</si>
  <si>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</si>
  <si>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</si>
  <si>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</si>
  <si>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</si>
  <si>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</si>
  <si>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</si>
  <si>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</si>
  <si>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</si>
  <si>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</si>
  <si>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</si>
  <si>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</si>
  <si>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</si>
  <si>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</si>
  <si>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</si>
  <si>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</si>
  <si>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</si>
  <si>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</si>
  <si>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</si>
  <si>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</si>
  <si>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</si>
  <si>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</si>
  <si>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</si>
  <si>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</si>
  <si>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</si>
  <si>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</si>
  <si>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</si>
  <si>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</si>
  <si>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</si>
  <si>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</si>
  <si>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</si>
  <si>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</si>
  <si>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</si>
  <si>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</si>
  <si>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</si>
  <si>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</si>
  <si>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</si>
  <si>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</si>
  <si>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</si>
  <si>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</si>
  <si>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</si>
  <si>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</si>
  <si>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</si>
  <si>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</si>
  <si>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</si>
  <si>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</si>
  <si>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</si>
  <si>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</si>
  <si>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</si>
  <si>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</si>
  <si>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</si>
  <si>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</si>
  <si>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</si>
  <si>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</si>
  <si>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</si>
  <si>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</si>
  <si>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</si>
  <si>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</si>
  <si>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</si>
  <si>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</si>
  <si>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</si>
  <si>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</si>
  <si>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</si>
  <si>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</si>
  <si>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</si>
  <si>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</si>
  <si>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</si>
  <si>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</si>
  <si>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</si>
  <si>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</si>
  <si>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</si>
  <si>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</si>
  <si>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</si>
  <si>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</si>
  <si>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</si>
  <si>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</si>
  <si>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</si>
  <si>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</si>
  <si>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</si>
  <si>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</si>
  <si>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</si>
  <si>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</si>
  <si>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</si>
  <si>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</si>
  <si>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</si>
  <si>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</si>
  <si>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</si>
  <si>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</si>
  <si>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</si>
  <si>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</si>
  <si>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</si>
  <si>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</si>
  <si>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</si>
  <si>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</si>
  <si>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</si>
  <si>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</si>
  <si>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</si>
  <si>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</si>
  <si>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</si>
  <si>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</si>
  <si>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</si>
  <si>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</si>
  <si>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</si>
  <si>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</si>
  <si>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</si>
  <si>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</si>
  <si>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</si>
  <si>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</si>
  <si>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</si>
  <si>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</si>
  <si>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</si>
  <si>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</si>
  <si>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</si>
  <si>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</si>
  <si>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</si>
  <si>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</si>
  <si>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</si>
  <si>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</si>
  <si>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</si>
  <si>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</si>
  <si>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</si>
  <si>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</si>
  <si>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</si>
  <si>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</si>
  <si>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</si>
  <si>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</si>
  <si>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</si>
  <si>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</si>
  <si>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</si>
  <si>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</si>
  <si>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</si>
  <si>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</si>
  <si>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</si>
  <si>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</si>
  <si>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</si>
  <si>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</si>
  <si>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</si>
  <si>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</si>
  <si>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</si>
  <si>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</si>
  <si>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</si>
  <si>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</si>
  <si>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</si>
  <si>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</si>
  <si>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</si>
  <si>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</si>
  <si>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</si>
  <si>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</si>
  <si>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</si>
  <si>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</si>
  <si>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</si>
  <si>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</si>
  <si>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</si>
  <si>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</si>
  <si>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</si>
  <si>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</si>
  <si>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</si>
  <si>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</si>
  <si>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</si>
  <si>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</si>
  <si>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</si>
  <si>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</si>
  <si>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</si>
  <si>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</si>
  <si>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</si>
  <si>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</si>
  <si>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</si>
  <si>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</si>
  <si>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</si>
  <si>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</si>
  <si>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</si>
  <si>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</si>
  <si>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</si>
  <si>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</si>
  <si>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</si>
  <si>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</si>
  <si>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</si>
  <si>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</si>
  <si>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</si>
  <si>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</si>
  <si>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</si>
  <si>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</si>
  <si>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</si>
  <si>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</si>
  <si>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</si>
  <si>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</si>
  <si>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</si>
  <si>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</si>
  <si>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</si>
  <si>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</si>
  <si>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</si>
  <si>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</si>
  <si>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</si>
  <si>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</si>
  <si>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</si>
  <si>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</si>
  <si>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</si>
  <si>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</si>
  <si>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</si>
  <si>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</si>
  <si>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</si>
  <si>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</si>
  <si>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</si>
  <si>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</si>
  <si>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</si>
  <si>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</si>
  <si>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</si>
  <si>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</si>
  <si>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</si>
  <si>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</si>
  <si>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</si>
  <si>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</si>
  <si>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</si>
  <si>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</si>
  <si>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</si>
  <si>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</si>
  <si>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</si>
  <si>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</si>
  <si>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</si>
  <si>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</si>
  <si>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</si>
  <si>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</si>
  <si>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</si>
  <si>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</si>
  <si>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</si>
  <si>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</si>
  <si>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</si>
  <si>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</si>
  <si>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</si>
  <si>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</si>
  <si>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</si>
  <si>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</si>
  <si>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</si>
  <si>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</si>
  <si>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</si>
  <si>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</si>
  <si>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</si>
  <si>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</si>
  <si>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</si>
  <si>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</si>
  <si>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</si>
  <si>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</si>
  <si>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</si>
  <si>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</si>
  <si>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</si>
  <si>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</si>
  <si>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</si>
  <si>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</si>
  <si>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</si>
  <si>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</si>
  <si>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</si>
  <si>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</si>
  <si>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</si>
  <si>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</si>
  <si>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</si>
  <si>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</si>
  <si>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</si>
  <si>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</si>
  <si>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</si>
  <si>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</si>
  <si>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</si>
  <si>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</si>
  <si>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</si>
  <si>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</si>
  <si>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</si>
  <si>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</si>
  <si>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</si>
  <si>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</si>
  <si>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</si>
  <si>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</si>
  <si>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</si>
  <si>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</si>
  <si>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</si>
  <si>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</si>
  <si>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</si>
  <si>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</si>
  <si>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</si>
  <si>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</si>
  <si>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</si>
  <si>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</si>
  <si>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</si>
  <si>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</si>
  <si>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</si>
  <si>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</si>
  <si>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</si>
  <si>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</si>
  <si>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</si>
  <si>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</si>
  <si>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</si>
  <si>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</si>
  <si>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</si>
  <si>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</si>
  <si>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</si>
  <si>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</si>
  <si>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</si>
  <si>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</si>
  <si>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</si>
  <si>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</si>
  <si>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</si>
  <si>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</si>
  <si>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</si>
  <si>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</si>
  <si>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</si>
  <si>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</si>
  <si>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</si>
  <si>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</si>
  <si>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</si>
  <si>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</si>
  <si>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</si>
  <si>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</si>
  <si>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</si>
  <si>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</si>
  <si>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</si>
  <si>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</si>
  <si>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</si>
  <si>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</si>
  <si>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</si>
  <si>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</si>
  <si>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</si>
  <si>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</si>
  <si>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</si>
  <si>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</si>
  <si>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</si>
  <si>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</si>
  <si>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</si>
  <si>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</si>
  <si>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</si>
  <si>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</si>
  <si>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</si>
  <si>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</si>
  <si>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</si>
  <si>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</si>
  <si>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</si>
  <si>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</si>
  <si>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</si>
  <si>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</si>
  <si>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</si>
  <si>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</si>
  <si>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</si>
  <si>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</si>
  <si>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</si>
  <si>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</si>
  <si>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</si>
  <si>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</si>
  <si>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</si>
  <si>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</si>
  <si>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</si>
  <si>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</si>
  <si>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</si>
  <si>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</si>
  <si>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</si>
  <si>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</si>
  <si>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</si>
  <si>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</si>
  <si>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</si>
  <si>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</si>
  <si>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</si>
  <si>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</si>
  <si>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</si>
  <si>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</si>
  <si>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</si>
  <si>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</si>
  <si>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</si>
  <si>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</si>
  <si>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</si>
  <si>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</si>
  <si>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</si>
  <si>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</si>
  <si>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</si>
  <si>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</si>
  <si>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</si>
  <si>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</si>
  <si>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</si>
  <si>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</si>
  <si>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</si>
  <si>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</si>
  <si>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</si>
  <si>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</si>
  <si>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</si>
  <si>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</si>
  <si>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</si>
  <si>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</si>
  <si>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</si>
  <si>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</si>
  <si>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</si>
  <si>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</si>
  <si>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</si>
  <si>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</si>
  <si>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</si>
  <si>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</si>
  <si>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</si>
  <si>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</si>
  <si>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</si>
  <si>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</si>
  <si>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</si>
  <si>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</si>
  <si>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</si>
  <si>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</si>
  <si>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</si>
  <si>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</si>
  <si>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</si>
  <si>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</si>
  <si>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</si>
  <si>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</si>
  <si>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</si>
  <si>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</si>
  <si>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</si>
  <si>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</si>
  <si>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</si>
  <si>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</si>
  <si>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</si>
  <si>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</si>
  <si>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</si>
  <si>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</si>
  <si>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</si>
  <si>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</si>
  <si>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</si>
  <si>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</si>
  <si>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</si>
  <si>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</si>
  <si>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</si>
  <si>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</si>
  <si>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</si>
  <si>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</si>
  <si>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</si>
  <si>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</si>
  <si>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</si>
  <si>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</si>
  <si>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</si>
  <si>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</si>
  <si>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</si>
  <si>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</si>
  <si>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</si>
  <si>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</si>
  <si>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</si>
  <si>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</si>
  <si>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</si>
  <si>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</si>
  <si>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</si>
  <si>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</si>
  <si>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</si>
  <si>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</si>
  <si>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</si>
  <si>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</si>
  <si>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</si>
  <si>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</si>
  <si>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</si>
  <si>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</si>
  <si>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</si>
  <si>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</si>
  <si>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</si>
  <si>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</si>
  <si>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</si>
  <si>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</si>
  <si>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</si>
  <si>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</si>
  <si>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</si>
  <si>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</si>
  <si>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</si>
  <si>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</si>
  <si>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</si>
  <si>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</si>
  <si>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</si>
  <si>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</si>
  <si>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</si>
  <si>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</si>
  <si>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</si>
  <si>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</si>
  <si>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</si>
  <si>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</si>
  <si>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</si>
  <si>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</si>
  <si>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</si>
  <si>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</si>
  <si>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</si>
  <si>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</si>
  <si>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</si>
  <si>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</si>
  <si>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</si>
  <si>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</si>
  <si>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</si>
  <si>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</si>
  <si>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</si>
  <si>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</si>
  <si>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</si>
  <si>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</si>
  <si>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</si>
  <si>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</si>
  <si>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</si>
  <si>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</si>
  <si>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</si>
  <si>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</si>
  <si>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</si>
  <si>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</si>
  <si>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</si>
  <si>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</si>
  <si>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</si>
  <si>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</si>
  <si>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</si>
  <si>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</si>
  <si>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</si>
  <si>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</si>
  <si>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</si>
  <si>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</si>
  <si>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</si>
  <si>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</si>
  <si>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</si>
  <si>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</si>
  <si>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</si>
  <si>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</si>
  <si>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</si>
  <si>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</si>
  <si>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</si>
  <si>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</si>
  <si>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</si>
  <si>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</si>
  <si>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</si>
  <si>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</si>
  <si>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</si>
  <si>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</si>
  <si>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</si>
  <si>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</si>
  <si>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</si>
  <si>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</si>
  <si>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</si>
  <si>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</si>
  <si>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</si>
  <si>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</si>
  <si>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</si>
  <si>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</si>
  <si>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</si>
  <si>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</si>
  <si>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</si>
  <si>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</si>
  <si>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</si>
  <si>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</si>
  <si>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</si>
  <si>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</si>
  <si>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</si>
  <si>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</si>
  <si>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</si>
  <si>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</si>
  <si>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</si>
  <si>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</si>
  <si>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</si>
  <si>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</si>
  <si>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</si>
  <si>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</si>
  <si>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</si>
  <si>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</si>
  <si>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</si>
  <si>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</si>
  <si>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</si>
  <si>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</si>
  <si>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</si>
  <si>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</si>
  <si>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</si>
  <si>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</si>
  <si>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</si>
  <si>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</si>
  <si>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</si>
  <si>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</si>
  <si>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</si>
  <si>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</si>
  <si>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</si>
  <si>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</si>
  <si>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</si>
  <si>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</si>
  <si>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</si>
  <si>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</si>
  <si>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</si>
  <si>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</si>
  <si>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</si>
  <si>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</si>
  <si>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</si>
  <si>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</si>
  <si>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</si>
  <si>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</si>
  <si>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</si>
  <si>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</si>
  <si>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</si>
  <si>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</si>
  <si>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</si>
  <si>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</si>
  <si>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</si>
  <si>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</si>
  <si>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</si>
  <si>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</si>
  <si>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</si>
  <si>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</si>
  <si>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</si>
  <si>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</si>
  <si>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</si>
  <si>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</si>
  <si>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</si>
  <si>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</si>
  <si>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</si>
  <si>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</si>
  <si>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</si>
  <si>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</si>
  <si>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</si>
  <si>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</si>
  <si>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</si>
  <si>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</si>
  <si>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</si>
  <si>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</si>
  <si>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</si>
  <si>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</si>
  <si>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</si>
  <si>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</si>
  <si>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</si>
  <si>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</si>
  <si>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</si>
  <si>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</si>
  <si>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</si>
  <si>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</si>
  <si>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</si>
  <si>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</si>
  <si>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</si>
  <si>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</si>
  <si>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</si>
  <si>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</si>
  <si>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</si>
  <si>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</si>
  <si>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</si>
  <si>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</si>
  <si>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</si>
  <si>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</si>
  <si>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</si>
  <si>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</si>
  <si>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</si>
  <si>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</si>
  <si>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</si>
  <si>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</si>
  <si>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</si>
  <si>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</si>
  <si>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</si>
  <si>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</si>
  <si>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</si>
  <si>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</si>
  <si>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Total Employees</t>
  </si>
  <si>
    <t xml:space="preserve">Attrition </t>
  </si>
  <si>
    <t>Active Employees</t>
  </si>
  <si>
    <t>Average Age</t>
  </si>
  <si>
    <t xml:space="preserve">Attrition Rate </t>
  </si>
  <si>
    <t>Row Labels</t>
  </si>
  <si>
    <t>Grand Total</t>
  </si>
  <si>
    <t>Sum of Employee Number</t>
  </si>
  <si>
    <t>female</t>
  </si>
  <si>
    <t>male</t>
  </si>
  <si>
    <t>Average of Job Satisfaction</t>
  </si>
  <si>
    <t>Rating</t>
  </si>
  <si>
    <t>Remainder</t>
  </si>
  <si>
    <t>Sum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</si>
</sst>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Segoe UI"/>
      <family val="2"/>
    </font>
    <font>
      <sz val="11"/>
      <color theme="1"/>
      <name val="Calibri"/>
      <family val="2"/>
      <scheme val="minor"/>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 fontId="0" fillId="0" borderId="0" xfId="0" applyNumberFormat="1"/>
    <xf numFmtId="9" fontId="0" fillId="0" borderId="0" xfId="0" applyNumberFormat="1"/>
    <xf numFmtId="9" fontId="0" fillId="0" borderId="0" xfId="1" applyFont="1"/>
    <xf numFmtId="2" fontId="0" fillId="0" borderId="0" xfId="0" applyNumberFormat="1"/>
    <xf numFmtId="164" fontId="0" fillId="0" borderId="0" xfId="0" applyNumberFormat="1"/>
    <xf numFmtId="0" fontId="1" fillId="2" borderId="0" xfId="0" applyFont="1" applyFill="1"/>
    <xf numFmtId="0" fontId="0" fillId="0" borderId="0" xfId="0" applyNumberFormat="1"/>
    <xf numFmtId="0" fontId="0" fillId="0" borderId="0" xfId="0" pivotButton="1"/>
    <xf numFmtId="0" fontId="0" fillId="0" borderId="0" xfId="0" applyAlignment="1">
      <alignment horizontal="left"/>
    </xf>
    <xf numFmtId="9" fontId="0" fillId="0" borderId="0" xfId="1" applyNumberFormat="1" applyFont="1"/>
    <xf numFmtId="0" fontId="0" fillId="0" borderId="0" xfId="0" applyAlignment="1">
      <alignment wrapText="1"/>
    </xf>
  </cellXfs>
  <cellStyles count="2">
    <cellStyle name="Normal" xfId="0" builtinId="0"/>
    <cellStyle name="Percent" xfId="1" builtinId="5"/>
  </cellStyles>
  <dxfs count="147">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numFmt numFmtId="2" formatCode="0.00"/>
    </dxf>
    <dxf>
      <alignment wrapText="1"/>
    </dxf>
    <dxf>
      <numFmt numFmtId="1" formatCode="0"/>
    </dxf>
    <dxf>
      <numFmt numFmtId="13" formatCode="0%"/>
    </dxf>
    <dxf>
      <alignment wrapText="1"/>
    </dxf>
    <dxf>
      <numFmt numFmtId="2" formatCode="0.00"/>
    </dxf>
    <dxf>
      <numFmt numFmtId="1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
      <font>
        <strike val="0"/>
        <u val="none"/>
        <name val="Segoe UI"/>
        <family val="2"/>
      </font>
      <border diagonalUp="1">
        <left style="thin">
          <color theme="0" tint="-0.14996795556505021"/>
        </left>
        <right style="thin">
          <color theme="0" tint="-0.14996795556505021"/>
        </right>
        <top style="thin">
          <color theme="0" tint="-0.14996795556505021"/>
        </top>
        <bottom style="thin">
          <color theme="0" tint="-0.14996795556505021"/>
        </bottom>
        <diagonal style="thin">
          <color auto="1"/>
        </diagonal>
      </border>
    </dxf>
  </dxfs>
  <tableStyles count="1" defaultTableStyle="TableStyleMedium2" defaultPivotStyle="PivotStyleLight16">
    <tableStyle name="Slicer Style 1" pivot="0" table="0" count="4" xr9:uid="{61F51EE1-310B-4305-A616-6EAA6C58DD93}">
      <tableStyleElement type="wholeTable" dxfId="146"/>
      <tableStyleElement type="headerRow" dxfId="145"/>
    </tableStyle>
  </tableStyles>
  <colors>
    <mruColors>
      <color rgb="FF2A2F4F"/>
      <color rgb="FF3C486B"/>
      <color rgb="FF00ABB3"/>
      <color rgb="FF47F6FF"/>
      <color rgb="FFC4DFDF"/>
      <color rgb="FFCCECFF"/>
      <color rgb="FFF266AB"/>
      <color rgb="FFEEEEEE"/>
      <color rgb="FF088395"/>
      <color rgb="FF0A4D68"/>
    </mruColors>
  </colors>
  <extLst>
    <ext xmlns:x14="http://schemas.microsoft.com/office/spreadsheetml/2009/9/main" uri="{46F421CA-312F-682f-3DD2-61675219B42D}">
      <x14:dxfs count="2">
        <dxf>
          <fill>
            <patternFill>
              <bgColor rgb="FFC4DFDF"/>
            </patternFill>
          </fill>
        </dxf>
        <dxf>
          <fill>
            <patternFill>
              <b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ABB3"/>
              </a:solidFill>
              <a:ln w="19050">
                <a:solidFill>
                  <a:schemeClr val="lt1"/>
                </a:solidFill>
              </a:ln>
              <a:effectLst/>
            </c:spPr>
            <c:extLst>
              <c:ext xmlns:c16="http://schemas.microsoft.com/office/drawing/2014/chart" uri="{C3380CC4-5D6E-409C-BE32-E72D297353CC}">
                <c16:uniqueId val="{00000002-705A-4639-8519-4E0EA755C15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05A-4639-8519-4E0EA755C15E}"/>
              </c:ext>
            </c:extLst>
          </c:dPt>
          <c:cat>
            <c:strRef>
              <c:f>KPIs!$A$24:$A$25</c:f>
              <c:strCache>
                <c:ptCount val="2"/>
                <c:pt idx="0">
                  <c:v>Rating</c:v>
                </c:pt>
                <c:pt idx="1">
                  <c:v>Remainder</c:v>
                </c:pt>
              </c:strCache>
            </c:strRef>
          </c:cat>
          <c:val>
            <c:numRef>
              <c:f>KPIs!$B$24:$B$25</c:f>
              <c:numCache>
                <c:formatCode>0.0</c:formatCode>
                <c:ptCount val="2"/>
                <c:pt idx="0">
                  <c:v>2.6265306122448981</c:v>
                </c:pt>
                <c:pt idx="1">
                  <c:v>1.3734693877551019</c:v>
                </c:pt>
              </c:numCache>
            </c:numRef>
          </c:val>
          <c:extLst>
            <c:ext xmlns:c16="http://schemas.microsoft.com/office/drawing/2014/chart" uri="{C3380CC4-5D6E-409C-BE32-E72D297353CC}">
              <c16:uniqueId val="{00000000-705A-4639-8519-4E0EA755C15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v-LV"/>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KPIs!$B$37</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KPIs!$A$38:$A$47</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KPIs!$B$38:$B$47</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1-1350-45CE-951B-6C1BC2B29978}"/>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max val="70"/>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KPIs!$B$55</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KPIs!$A$56:$A$61</c:f>
              <c:strCache>
                <c:ptCount val="5"/>
                <c:pt idx="0">
                  <c:v>Under 25</c:v>
                </c:pt>
                <c:pt idx="1">
                  <c:v>25 - 34</c:v>
                </c:pt>
                <c:pt idx="2">
                  <c:v>35 - 44</c:v>
                </c:pt>
                <c:pt idx="3">
                  <c:v>45 - 54</c:v>
                </c:pt>
                <c:pt idx="4">
                  <c:v>Over 55</c:v>
                </c:pt>
              </c:strCache>
            </c:strRef>
          </c:cat>
          <c:val>
            <c:numRef>
              <c:f>KPIs!$B$56:$B$61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1-1350-45CE-951B-6C1BC2B29978}"/>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1"/>
        <c:axPos val="b"/>
        <c:numFmt formatCode="General" sourceLinked="1"/>
        <c:majorTickMark val="out"/>
        <c:minorTickMark val="none"/>
        <c:tickLblPos val="nextTo"/>
        <c:crossAx val="1931122895"/>
        <c:crosses val="autoZero"/>
        <c:auto val="1"/>
        <c:lblAlgn val="ctr"/>
        <c:lblOffset val="100"/>
        <c:noMultiLvlLbl val="0"/>
      </c:catAx>
      <c:valAx>
        <c:axId val="1931122895"/>
        <c:scaling>
          <c:orientation val="minMax"/>
        </c:scaling>
        <c:delete val="1"/>
        <c:axPos val="l"/>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KPIs!$B$71</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KPIs!$A$72:$A$75</c:f>
              <c:strCache>
                <c:ptCount val="3"/>
                <c:pt idx="0">
                  <c:v>Divorced</c:v>
                </c:pt>
                <c:pt idx="1">
                  <c:v>Married</c:v>
                </c:pt>
                <c:pt idx="2">
                  <c:v>Single</c:v>
                </c:pt>
              </c:strCache>
            </c:strRef>
          </c:cat>
          <c:val>
            <c:numRef>
              <c:f>KPIs!$B$72:$B$75</c:f>
              <c:numCache>
                <c:formatCode>General</c:formatCode>
                <c:ptCount val="3"/>
                <c:pt idx="0">
                  <c:v>33</c:v>
                </c:pt>
                <c:pt idx="1">
                  <c:v>84</c:v>
                </c:pt>
                <c:pt idx="2">
                  <c:v>120</c:v>
                </c:pt>
              </c:numCache>
            </c:numRef>
          </c:val>
          <c:extLst>
            <c:ext xmlns:c16="http://schemas.microsoft.com/office/drawing/2014/chart" uri="{C3380CC4-5D6E-409C-BE32-E72D297353CC}">
              <c16:uniqueId val="{00000001-1350-45CE-951B-6C1BC2B29978}"/>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max val="380"/>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4"/>
            </a:solidFill>
            <a:ln>
              <a:noFill/>
            </a:ln>
            <a:effectLst/>
          </c:spPr>
          <c:invertIfNegative val="0"/>
          <c:val>
            <c:numRef>
              <c:f>KPIs!$B$24</c:f>
              <c:numCache>
                <c:formatCode>0.0</c:formatCode>
                <c:ptCount val="1"/>
                <c:pt idx="0">
                  <c:v>2.6265306122448981</c:v>
                </c:pt>
              </c:numCache>
            </c:numRef>
          </c:val>
          <c:extLst>
            <c:ext xmlns:c16="http://schemas.microsoft.com/office/drawing/2014/chart" uri="{C3380CC4-5D6E-409C-BE32-E72D297353CC}">
              <c16:uniqueId val="{00000000-A18C-48FE-B906-07E991E65F9C}"/>
            </c:ext>
          </c:extLst>
        </c:ser>
        <c:ser>
          <c:idx val="1"/>
          <c:order val="1"/>
          <c:spPr>
            <a:solidFill>
              <a:schemeClr val="bg1"/>
            </a:solidFill>
            <a:ln>
              <a:noFill/>
            </a:ln>
            <a:effectLst/>
          </c:spPr>
          <c:invertIfNegative val="0"/>
          <c:val>
            <c:numRef>
              <c:f>KPIs!$B$25</c:f>
              <c:numCache>
                <c:formatCode>0.0</c:formatCode>
                <c:ptCount val="1"/>
                <c:pt idx="0">
                  <c:v>1.3734693877551019</c:v>
                </c:pt>
              </c:numCache>
            </c:numRef>
          </c:val>
          <c:extLst>
            <c:ext xmlns:c16="http://schemas.microsoft.com/office/drawing/2014/chart" uri="{C3380CC4-5D6E-409C-BE32-E72D297353CC}">
              <c16:uniqueId val="{00000001-A18C-48FE-B906-07E991E65F9C}"/>
            </c:ext>
          </c:extLst>
        </c:ser>
        <c:dLbls>
          <c:showLegendKey val="0"/>
          <c:showVal val="0"/>
          <c:showCatName val="0"/>
          <c:showSerName val="0"/>
          <c:showPercent val="0"/>
          <c:showBubbleSize val="0"/>
        </c:dLbls>
        <c:gapWidth val="0"/>
        <c:overlap val="100"/>
        <c:axId val="350990288"/>
        <c:axId val="350992368"/>
      </c:barChart>
      <c:catAx>
        <c:axId val="350990288"/>
        <c:scaling>
          <c:orientation val="minMax"/>
        </c:scaling>
        <c:delete val="1"/>
        <c:axPos val="l"/>
        <c:majorTickMark val="none"/>
        <c:minorTickMark val="none"/>
        <c:tickLblPos val="nextTo"/>
        <c:crossAx val="350992368"/>
        <c:crosses val="autoZero"/>
        <c:auto val="1"/>
        <c:lblAlgn val="ctr"/>
        <c:lblOffset val="100"/>
        <c:noMultiLvlLbl val="0"/>
      </c:catAx>
      <c:valAx>
        <c:axId val="350992368"/>
        <c:scaling>
          <c:orientation val="minMax"/>
          <c:max val="4"/>
        </c:scaling>
        <c:delete val="1"/>
        <c:axPos val="b"/>
        <c:numFmt formatCode="0.0" sourceLinked="1"/>
        <c:majorTickMark val="none"/>
        <c:minorTickMark val="none"/>
        <c:tickLblPos val="nextTo"/>
        <c:crossAx val="350990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v-LV"/>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ABB3"/>
              </a:solidFill>
              <a:ln w="19050">
                <a:solidFill>
                  <a:schemeClr val="lt1"/>
                </a:solidFill>
              </a:ln>
              <a:effectLst/>
            </c:spPr>
            <c:extLst>
              <c:ext xmlns:c16="http://schemas.microsoft.com/office/drawing/2014/chart" uri="{C3380CC4-5D6E-409C-BE32-E72D297353CC}">
                <c16:uniqueId val="{00000001-92F0-487D-893F-859D65481138}"/>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2F0-487D-893F-859D65481138}"/>
              </c:ext>
            </c:extLst>
          </c:dPt>
          <c:cat>
            <c:strRef>
              <c:f>KPIs!$A$24:$A$25</c:f>
              <c:strCache>
                <c:ptCount val="2"/>
                <c:pt idx="0">
                  <c:v>Rating</c:v>
                </c:pt>
                <c:pt idx="1">
                  <c:v>Remainder</c:v>
                </c:pt>
              </c:strCache>
            </c:strRef>
          </c:cat>
          <c:val>
            <c:numRef>
              <c:f>KPIs!$B$24:$B$25</c:f>
              <c:numCache>
                <c:formatCode>0.0</c:formatCode>
                <c:ptCount val="2"/>
                <c:pt idx="0">
                  <c:v>2.6265306122448981</c:v>
                </c:pt>
                <c:pt idx="1">
                  <c:v>1.3734693877551019</c:v>
                </c:pt>
              </c:numCache>
            </c:numRef>
          </c:val>
          <c:extLst>
            <c:ext xmlns:c16="http://schemas.microsoft.com/office/drawing/2014/chart" uri="{C3380CC4-5D6E-409C-BE32-E72D297353CC}">
              <c16:uniqueId val="{00000004-92F0-487D-893F-859D6548113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v-LV"/>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[HR_dashboard.xlsx]KPIs!PivotTable2</c:name>
    <c:fmtId val="9"/>
  </c:pivotSource>
  <c:chart>
    <c:autoTitleDeleted val="1"/>
    <c:pivotFmts>
      <c:pivotFmt>
        <c:idx val="0"/>
        <c:spPr>
          <a:solidFill>
            <a:schemeClr val="bg1">
              <a:lumMod val="85000"/>
            </a:schemeClr>
          </a:solidFill>
          <a:ln w="19050">
            <a:solidFill>
              <a:schemeClr val="lt1"/>
            </a:solidFill>
          </a:ln>
          <a:effectLst/>
        </c:spPr>
        <c:marker>
          <c:symbol val="none"/>
        </c:marker>
      </c:pivotFmt>
      <c:pivotFmt>
        <c:idx val="1"/>
        <c:spPr>
          <a:solidFill>
            <a:srgbClr val="F266AB"/>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bg1">
              <a:lumMod val="85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rgbClr val="F266AB"/>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bg1">
              <a:lumMod val="85000"/>
            </a:schemeClr>
          </a:solidFill>
        </c:spPr>
        <c:marker>
          <c:symbol val="none"/>
        </c:marker>
        <c:dLbl>
          <c:idx val="0"/>
          <c:delete val="1"/>
          <c:extLst>
            <c:ext xmlns:c15="http://schemas.microsoft.com/office/drawing/2012/chart" uri="{CE6537A1-D6FC-4f65-9D91-7224C49458BB}"/>
          </c:extLst>
        </c:dLbl>
      </c:pivotFmt>
      <c:pivotFmt>
        <c:idx val="7"/>
        <c:spPr>
          <a:solidFill>
            <a:srgbClr val="F266AB"/>
          </a:solidFill>
          <a:ln w="19050">
            <a:solidFill>
              <a:schemeClr val="lt1"/>
            </a:solidFill>
          </a:ln>
          <a:effectLst/>
        </c:spPr>
      </c:pivotFmt>
      <c:pivotFmt>
        <c:idx val="8"/>
        <c:spPr>
          <a:solidFill>
            <a:schemeClr val="bg1">
              <a:lumMod val="85000"/>
            </a:schemeClr>
          </a:solidFill>
          <a:ln w="19050">
            <a:solidFill>
              <a:schemeClr val="lt1"/>
            </a:solidFill>
          </a:ln>
          <a:effectLst/>
        </c:spPr>
      </c:pivotFmt>
    </c:pivotFmts>
    <c:plotArea>
      <c:layout/>
      <c:doughnutChart>
        <c:varyColors val="1"/>
        <c:ser>
          <c:idx val="0"/>
          <c:order val="0"/>
          <c:tx>
            <c:strRef>
              <c:f>KPIs!$B$8</c:f>
              <c:strCache>
                <c:ptCount val="1"/>
                <c:pt idx="0">
                  <c:v>Total</c:v>
                </c:pt>
              </c:strCache>
            </c:strRef>
          </c:tx>
          <c:spPr>
            <a:solidFill>
              <a:schemeClr val="bg1">
                <a:lumMod val="85000"/>
              </a:schemeClr>
            </a:solidFill>
          </c:spPr>
          <c:dPt>
            <c:idx val="0"/>
            <c:bubble3D val="0"/>
            <c:spPr>
              <a:solidFill>
                <a:srgbClr val="F266AB"/>
              </a:solidFill>
              <a:ln w="19050">
                <a:solidFill>
                  <a:schemeClr val="lt1"/>
                </a:solidFill>
              </a:ln>
              <a:effectLst/>
            </c:spPr>
            <c:extLst>
              <c:ext xmlns:c16="http://schemas.microsoft.com/office/drawing/2014/chart" uri="{C3380CC4-5D6E-409C-BE32-E72D297353CC}">
                <c16:uniqueId val="{00000001-F6F8-4CE7-ACBA-D725863D8FD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6F8-4CE7-ACBA-D725863D8FDB}"/>
              </c:ext>
            </c:extLst>
          </c:dPt>
          <c:cat>
            <c:strRef>
              <c:f>KPIs!$A$9:$A$11</c:f>
              <c:strCache>
                <c:ptCount val="2"/>
                <c:pt idx="0">
                  <c:v>Female</c:v>
                </c:pt>
                <c:pt idx="1">
                  <c:v>Male</c:v>
                </c:pt>
              </c:strCache>
            </c:strRef>
          </c:cat>
          <c:val>
            <c:numRef>
              <c:f>KPIs!$B$9:$B$11</c:f>
              <c:numCache>
                <c:formatCode>0%</c:formatCode>
                <c:ptCount val="2"/>
                <c:pt idx="0">
                  <c:v>0.39351114332595222</c:v>
                </c:pt>
                <c:pt idx="1">
                  <c:v>0.60648885667404773</c:v>
                </c:pt>
              </c:numCache>
            </c:numRef>
          </c:val>
          <c:extLst>
            <c:ext xmlns:c16="http://schemas.microsoft.com/office/drawing/2014/chart" uri="{C3380CC4-5D6E-409C-BE32-E72D297353CC}">
              <c16:uniqueId val="{00000004-F6F8-4CE7-ACBA-D725863D8FD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[HR_dashboard.xlsx]KPIs!PivotTable2</c:name>
    <c:fmtId val="11"/>
  </c:pivotSource>
  <c:chart>
    <c:autoTitleDeleted val="1"/>
    <c:pivotFmts>
      <c:pivotFmt>
        <c:idx val="0"/>
        <c:spPr>
          <a:solidFill>
            <a:schemeClr val="bg1">
              <a:lumMod val="85000"/>
            </a:schemeClr>
          </a:solidFill>
          <a:ln w="19050">
            <a:solidFill>
              <a:schemeClr val="lt1"/>
            </a:solidFill>
          </a:ln>
          <a:effectLst/>
        </c:spPr>
        <c:marker>
          <c:symbol val="none"/>
        </c:marker>
      </c:pivotFmt>
      <c:pivotFmt>
        <c:idx val="1"/>
        <c:spPr>
          <a:solidFill>
            <a:srgbClr val="F266AB"/>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bg1">
              <a:lumMod val="85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rgbClr val="F266AB"/>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bg1">
              <a:lumMod val="85000"/>
            </a:schemeClr>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rgbClr val="F266AB"/>
          </a:solidFill>
          <a:ln w="19050">
            <a:solidFill>
              <a:schemeClr val="lt1"/>
            </a:solidFill>
          </a:ln>
          <a:effectLst/>
        </c:spPr>
      </c:pivotFmt>
      <c:pivotFmt>
        <c:idx val="8"/>
        <c:spPr>
          <a:solidFill>
            <a:schemeClr val="bg1">
              <a:lumMod val="85000"/>
            </a:schemeClr>
          </a:solidFill>
          <a:ln w="19050">
            <a:solidFill>
              <a:schemeClr val="lt1"/>
            </a:solidFill>
          </a:ln>
          <a:effectLst/>
        </c:spPr>
      </c:pivotFmt>
      <c:pivotFmt>
        <c:idx val="9"/>
        <c:spPr>
          <a:solidFill>
            <a:schemeClr val="bg1">
              <a:lumMod val="85000"/>
            </a:schemeClr>
          </a:solidFill>
        </c:spPr>
        <c:marker>
          <c:symbol val="none"/>
        </c:marker>
        <c:dLbl>
          <c:idx val="0"/>
          <c:delete val="1"/>
          <c:extLst>
            <c:ext xmlns:c15="http://schemas.microsoft.com/office/drawing/2012/chart" uri="{CE6537A1-D6FC-4f65-9D91-7224C49458BB}"/>
          </c:extLst>
        </c:dLbl>
      </c:pivotFmt>
      <c:pivotFmt>
        <c:idx val="10"/>
        <c:spPr>
          <a:solidFill>
            <a:schemeClr val="bg1">
              <a:lumMod val="85000"/>
            </a:schemeClr>
          </a:solidFill>
          <a:ln w="19050">
            <a:solidFill>
              <a:schemeClr val="lt1"/>
            </a:solidFill>
          </a:ln>
          <a:effectLst/>
        </c:spPr>
      </c:pivotFmt>
      <c:pivotFmt>
        <c:idx val="11"/>
        <c:spPr>
          <a:solidFill>
            <a:srgbClr val="00ABB3"/>
          </a:solidFill>
          <a:ln w="19050">
            <a:solidFill>
              <a:schemeClr val="lt1"/>
            </a:solidFill>
          </a:ln>
          <a:effectLst/>
        </c:spPr>
      </c:pivotFmt>
    </c:pivotFmts>
    <c:plotArea>
      <c:layout/>
      <c:doughnutChart>
        <c:varyColors val="1"/>
        <c:ser>
          <c:idx val="0"/>
          <c:order val="0"/>
          <c:tx>
            <c:strRef>
              <c:f>KPIs!$B$8</c:f>
              <c:strCache>
                <c:ptCount val="1"/>
                <c:pt idx="0">
                  <c:v>Total</c:v>
                </c:pt>
              </c:strCache>
            </c:strRef>
          </c:tx>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F6F8-4CE7-ACBA-D725863D8FDB}"/>
              </c:ext>
            </c:extLst>
          </c:dPt>
          <c:dPt>
            <c:idx val="1"/>
            <c:bubble3D val="0"/>
            <c:spPr>
              <a:solidFill>
                <a:srgbClr val="00ABB3"/>
              </a:solidFill>
              <a:ln w="19050">
                <a:solidFill>
                  <a:schemeClr val="lt1"/>
                </a:solidFill>
              </a:ln>
              <a:effectLst/>
            </c:spPr>
            <c:extLst>
              <c:ext xmlns:c16="http://schemas.microsoft.com/office/drawing/2014/chart" uri="{C3380CC4-5D6E-409C-BE32-E72D297353CC}">
                <c16:uniqueId val="{00000003-F6F8-4CE7-ACBA-D725863D8FDB}"/>
              </c:ext>
            </c:extLst>
          </c:dPt>
          <c:cat>
            <c:strRef>
              <c:f>KPIs!$A$9:$A$11</c:f>
              <c:strCache>
                <c:ptCount val="2"/>
                <c:pt idx="0">
                  <c:v>Female</c:v>
                </c:pt>
                <c:pt idx="1">
                  <c:v>Male</c:v>
                </c:pt>
              </c:strCache>
            </c:strRef>
          </c:cat>
          <c:val>
            <c:numRef>
              <c:f>KPIs!$B$9:$B$11</c:f>
              <c:numCache>
                <c:formatCode>0%</c:formatCode>
                <c:ptCount val="2"/>
                <c:pt idx="0">
                  <c:v>0.39351114332595222</c:v>
                </c:pt>
                <c:pt idx="1">
                  <c:v>0.60648885667404773</c:v>
                </c:pt>
              </c:numCache>
            </c:numRef>
          </c:val>
          <c:extLst>
            <c:ext xmlns:c16="http://schemas.microsoft.com/office/drawing/2014/chart" uri="{C3380CC4-5D6E-409C-BE32-E72D297353CC}">
              <c16:uniqueId val="{00000004-F6F8-4CE7-ACBA-D725863D8FD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KPIs!$B$28</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KPIs!$A$29:$A$34</c:f>
              <c:strCache>
                <c:ptCount val="5"/>
                <c:pt idx="0">
                  <c:v>Doctoral Degree</c:v>
                </c:pt>
                <c:pt idx="1">
                  <c:v>High School</c:v>
                </c:pt>
                <c:pt idx="2">
                  <c:v>Associates Degree</c:v>
                </c:pt>
                <c:pt idx="3">
                  <c:v>Master's Degree</c:v>
                </c:pt>
                <c:pt idx="4">
                  <c:v>Bachelor's Degree</c:v>
                </c:pt>
              </c:strCache>
            </c:strRef>
          </c:cat>
          <c:val>
            <c:numRef>
              <c:f>KPIs!$B$29:$B$34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1-1350-45CE-951B-6C1BC2B29978}"/>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ABB3"/>
          </a:solidFill>
          <a:ln>
            <a:noFill/>
          </a:ln>
          <a:effectLst/>
        </c:spPr>
        <c:dLbl>
          <c:idx val="0"/>
          <c:layout>
            <c:manualLayout>
              <c:x val="5.637773079633545E-3"/>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15:layout>
                <c:manualLayout>
                  <c:w val="8.0718705087868242E-2"/>
                  <c:h val="0.17365461847389557"/>
                </c:manualLayout>
              </c15:layout>
            </c:ext>
          </c:extLst>
        </c:dLbl>
      </c:pivotFmt>
    </c:pivotFmts>
    <c:plotArea>
      <c:layout/>
      <c:barChart>
        <c:barDir val="bar"/>
        <c:grouping val="clustered"/>
        <c:varyColors val="0"/>
        <c:ser>
          <c:idx val="0"/>
          <c:order val="0"/>
          <c:tx>
            <c:strRef>
              <c:f>KPIs!$B$55</c:f>
              <c:strCache>
                <c:ptCount val="1"/>
                <c:pt idx="0">
                  <c:v>Total</c:v>
                </c:pt>
              </c:strCache>
            </c:strRef>
          </c:tx>
          <c:spPr>
            <a:solidFill>
              <a:srgbClr val="00ABB3"/>
            </a:solidFill>
            <a:ln>
              <a:noFill/>
            </a:ln>
            <a:effectLst/>
          </c:spPr>
          <c:invertIfNegative val="0"/>
          <c:dPt>
            <c:idx val="1"/>
            <c:invertIfNegative val="0"/>
            <c:bubble3D val="0"/>
            <c:spPr>
              <a:solidFill>
                <a:srgbClr val="00ABB3"/>
              </a:solidFill>
              <a:ln>
                <a:noFill/>
              </a:ln>
              <a:effectLst/>
            </c:spPr>
            <c:extLst>
              <c:ext xmlns:c16="http://schemas.microsoft.com/office/drawing/2014/chart" uri="{C3380CC4-5D6E-409C-BE32-E72D297353CC}">
                <c16:uniqueId val="{00000002-A82B-4F91-8584-FE024EA49535}"/>
              </c:ext>
            </c:extLst>
          </c:dPt>
          <c:dLbls>
            <c:dLbl>
              <c:idx val="1"/>
              <c:layout>
                <c:manualLayout>
                  <c:x val="5.637773079633545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8.0718705087868242E-2"/>
                      <c:h val="0.17365461847389557"/>
                    </c:manualLayout>
                  </c15:layout>
                </c:ext>
                <c:ext xmlns:c16="http://schemas.microsoft.com/office/drawing/2014/chart" uri="{C3380CC4-5D6E-409C-BE32-E72D297353CC}">
                  <c16:uniqueId val="{00000002-A82B-4F91-8584-FE024EA4953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KPIs!$A$56:$A$61</c:f>
              <c:strCache>
                <c:ptCount val="5"/>
                <c:pt idx="0">
                  <c:v>Under 25</c:v>
                </c:pt>
                <c:pt idx="1">
                  <c:v>25 - 34</c:v>
                </c:pt>
                <c:pt idx="2">
                  <c:v>35 - 44</c:v>
                </c:pt>
                <c:pt idx="3">
                  <c:v>45 - 54</c:v>
                </c:pt>
                <c:pt idx="4">
                  <c:v>Over 55</c:v>
                </c:pt>
              </c:strCache>
            </c:strRef>
          </c:cat>
          <c:val>
            <c:numRef>
              <c:f>KPIs!$B$56:$B$61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A82B-4F91-8584-FE024EA49535}"/>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KPIs!$B$37</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KPIs!$A$38:$A$47</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KPIs!$B$38:$B$47</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962-4C6E-82B9-D34954539C87}"/>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max val="70"/>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[HR_dashboard.xlsx]KPIs!PivotTable7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AB1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Arial" panose="020B0604020202020204" pitchFamily="34" charset="0"/>
                  <a:ea typeface="+mn-ea"/>
                  <a:cs typeface="Arial" panose="020B0604020202020204" pitchFamily="34" charset="0"/>
                </a:defRPr>
              </a:pPr>
              <a:endParaRPr lang="lv-LV"/>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AB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KPIs!$B$71</c:f>
              <c:strCache>
                <c:ptCount val="1"/>
                <c:pt idx="0">
                  <c:v>Total</c:v>
                </c:pt>
              </c:strCache>
            </c:strRef>
          </c:tx>
          <c:spPr>
            <a:solidFill>
              <a:srgbClr val="00AB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KPIs!$A$72:$A$75</c:f>
              <c:strCache>
                <c:ptCount val="3"/>
                <c:pt idx="0">
                  <c:v>Divorced</c:v>
                </c:pt>
                <c:pt idx="1">
                  <c:v>Married</c:v>
                </c:pt>
                <c:pt idx="2">
                  <c:v>Single</c:v>
                </c:pt>
              </c:strCache>
            </c:strRef>
          </c:cat>
          <c:val>
            <c:numRef>
              <c:f>KPIs!$B$72:$B$75</c:f>
              <c:numCache>
                <c:formatCode>General</c:formatCode>
                <c:ptCount val="3"/>
                <c:pt idx="0">
                  <c:v>33</c:v>
                </c:pt>
                <c:pt idx="1">
                  <c:v>84</c:v>
                </c:pt>
                <c:pt idx="2">
                  <c:v>120</c:v>
                </c:pt>
              </c:numCache>
            </c:numRef>
          </c:val>
          <c:extLst>
            <c:ext xmlns:c16="http://schemas.microsoft.com/office/drawing/2014/chart" uri="{C3380CC4-5D6E-409C-BE32-E72D297353CC}">
              <c16:uniqueId val="{00000000-E91A-4690-8D88-015387B21701}"/>
            </c:ext>
          </c:extLst>
        </c:ser>
        <c:dLbls>
          <c:dLblPos val="inEnd"/>
          <c:showLegendKey val="0"/>
          <c:showVal val="1"/>
          <c:showCatName val="0"/>
          <c:showSerName val="0"/>
          <c:showPercent val="0"/>
          <c:showBubbleSize val="0"/>
        </c:dLbls>
        <c:gapWidth val="35"/>
        <c:axId val="1931123311"/>
        <c:axId val="1931122895"/>
      </c:barChart>
      <c:catAx>
        <c:axId val="1931123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2A2F4F"/>
                </a:solidFill>
                <a:latin typeface="Segoe UI" panose="020B0502040204020203" pitchFamily="34" charset="0"/>
                <a:ea typeface="+mn-ea"/>
                <a:cs typeface="Segoe UI" panose="020B0502040204020203" pitchFamily="34" charset="0"/>
              </a:defRPr>
            </a:pPr>
            <a:endParaRPr lang="lv-LV"/>
          </a:p>
        </c:txPr>
        <c:crossAx val="1931122895"/>
        <c:crosses val="autoZero"/>
        <c:auto val="1"/>
        <c:lblAlgn val="ctr"/>
        <c:lblOffset val="100"/>
        <c:noMultiLvlLbl val="0"/>
      </c:catAx>
      <c:valAx>
        <c:axId val="1931122895"/>
        <c:scaling>
          <c:orientation val="minMax"/>
          <c:max val="140"/>
        </c:scaling>
        <c:delete val="1"/>
        <c:axPos val="b"/>
        <c:numFmt formatCode="General" sourceLinked="1"/>
        <c:majorTickMark val="out"/>
        <c:minorTickMark val="none"/>
        <c:tickLblPos val="nextTo"/>
        <c:crossAx val="19311233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lv-LV"/>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400050</xdr:colOff>
      <xdr:row>6</xdr:row>
      <xdr:rowOff>104775</xdr:rowOff>
    </xdr:from>
    <xdr:to>
      <xdr:col>4</xdr:col>
      <xdr:colOff>314325</xdr:colOff>
      <xdr:row>11</xdr:row>
      <xdr:rowOff>95250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58FA0BA9-0DC1-4BF1-BA68-47572C9460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67025" y="1247775"/>
              <a:ext cx="14192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509587</xdr:colOff>
      <xdr:row>19</xdr:row>
      <xdr:rowOff>0</xdr:rowOff>
    </xdr:from>
    <xdr:to>
      <xdr:col>4</xdr:col>
      <xdr:colOff>495300</xdr:colOff>
      <xdr:row>25</xdr:row>
      <xdr:rowOff>100012</xdr:rowOff>
    </xdr:to>
    <xdr:graphicFrame macro="">
      <xdr:nvGraphicFramePr>
        <xdr:cNvPr id="21" name="Chart 20">
          <a:extLst>
            <a:ext uri="{FF2B5EF4-FFF2-40B4-BE49-F238E27FC236}">
              <a16:creationId xmlns:a16="http://schemas.microsoft.com/office/drawing/2014/main" id="{37228B90-F54F-46D1-82F8-410DD2A1C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31</xdr:row>
      <xdr:rowOff>109537</xdr:rowOff>
    </xdr:from>
    <xdr:to>
      <xdr:col>10</xdr:col>
      <xdr:colOff>495300</xdr:colOff>
      <xdr:row>45</xdr:row>
      <xdr:rowOff>185737</xdr:rowOff>
    </xdr:to>
    <xdr:graphicFrame macro="">
      <xdr:nvGraphicFramePr>
        <xdr:cNvPr id="22" name="Chart 21">
          <a:extLst>
            <a:ext uri="{FF2B5EF4-FFF2-40B4-BE49-F238E27FC236}">
              <a16:creationId xmlns:a16="http://schemas.microsoft.com/office/drawing/2014/main" id="{20935F24-B600-4105-AF48-96F8173D8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200025</xdr:colOff>
      <xdr:row>52</xdr:row>
      <xdr:rowOff>4762</xdr:rowOff>
    </xdr:from>
    <xdr:to>
      <xdr:col>9</xdr:col>
      <xdr:colOff>571500</xdr:colOff>
      <xdr:row>66</xdr:row>
      <xdr:rowOff>80962</xdr:rowOff>
    </xdr:to>
    <xdr:graphicFrame macro="">
      <xdr:nvGraphicFramePr>
        <xdr:cNvPr id="25" name="Chart 24">
          <a:extLst>
            <a:ext uri="{FF2B5EF4-FFF2-40B4-BE49-F238E27FC236}">
              <a16:creationId xmlns:a16="http://schemas.microsoft.com/office/drawing/2014/main" id="{B94F65F5-AAA2-4B21-B39D-EED27B024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1204912</xdr:colOff>
      <xdr:row>69</xdr:row>
      <xdr:rowOff>14287</xdr:rowOff>
    </xdr:from>
    <xdr:to>
      <xdr:col>8</xdr:col>
      <xdr:colOff>595312</xdr:colOff>
      <xdr:row>83</xdr:row>
      <xdr:rowOff>90487</xdr:rowOff>
    </xdr:to>
    <xdr:graphicFrame macro="">
      <xdr:nvGraphicFramePr>
        <xdr:cNvPr id="2" name="Chart 1">
          <a:extLst>
            <a:ext uri="{FF2B5EF4-FFF2-40B4-BE49-F238E27FC236}">
              <a16:creationId xmlns:a16="http://schemas.microsoft.com/office/drawing/2014/main" id="{A1370D67-A048-4660-A406-2589921BF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200025</xdr:colOff>
      <xdr:row>52</xdr:row>
      <xdr:rowOff>57151</xdr:rowOff>
    </xdr:from>
    <xdr:to>
      <xdr:col>14</xdr:col>
      <xdr:colOff>200025</xdr:colOff>
      <xdr:row>58</xdr:row>
      <xdr:rowOff>76200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9809E00-BD3E-49F9-A867-B78111FFD5F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86800" y="10344151"/>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123825</xdr:colOff>
      <xdr:row>59</xdr:row>
      <xdr:rowOff>66676</xdr:rowOff>
    </xdr:from>
    <xdr:to>
      <xdr:col>14</xdr:col>
      <xdr:colOff>123825</xdr:colOff>
      <xdr:row>69</xdr:row>
      <xdr:rowOff>133350</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E25CA02F-004C-4D62-9432-168429C1E85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610600" y="15497176"/>
              <a:ext cx="1828800"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222968</xdr:colOff>
      <xdr:row>0</xdr:row>
      <xdr:rowOff>114993</xdr:rowOff>
    </xdr:from>
    <xdr:to>
      <xdr:col>23</xdr:col>
      <xdr:colOff>127718</xdr:colOff>
      <xdr:row>4</xdr:row>
      <xdr:rowOff>88323</xdr:rowOff>
    </xdr:to>
    <xdr:grpSp>
      <xdr:nvGrpSpPr>
        <xdr:cNvPr id="59" name="Group 58">
          <a:extLst>
            <a:ext uri="{FF2B5EF4-FFF2-40B4-BE49-F238E27FC236}">
              <a16:creationId xmlns:a16="http://schemas.microsoft.com/office/drawing/2014/main" id="{1065CCE3-3219-48FD-B233-955E215C37A1}"/>
            </a:ext>
          </a:extLst>
        </xdr:cNvPr>
        <xdr:cNvGrpSpPr/>
      </xdr:nvGrpSpPr>
      <xdr:grpSpPr>
        <a:xfrm>
          <a:off x="222968" y="114993"/>
          <a:ext cx="13487400" cy="811530"/>
          <a:chOff x="198121" y="212360"/>
          <a:chExt cx="13426031" cy="817880"/>
        </a:xfrm>
      </xdr:grpSpPr>
      <xdr:sp macro="" textlink="">
        <xdr:nvSpPr>
          <xdr:cNvPr id="2" name="Rectangle: Rounded Corners 1">
            <a:extLst>
              <a:ext uri="{FF2B5EF4-FFF2-40B4-BE49-F238E27FC236}">
                <a16:creationId xmlns:a16="http://schemas.microsoft.com/office/drawing/2014/main" id="{8AD3039F-B92D-F11B-278A-2348CA9EB8B2}"/>
              </a:ext>
            </a:extLst>
          </xdr:cNvPr>
          <xdr:cNvSpPr/>
        </xdr:nvSpPr>
        <xdr:spPr>
          <a:xfrm>
            <a:off x="198121" y="212360"/>
            <a:ext cx="6650706" cy="8178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2800" b="1" strike="noStrike" cap="all">
              <a:solidFill>
                <a:srgbClr val="2A2F4F"/>
              </a:solidFill>
              <a:latin typeface="Segoe UI" panose="020B0502040204020203" pitchFamily="34" charset="0"/>
              <a:cs typeface="Segoe UI" panose="020B0502040204020203" pitchFamily="34" charset="0"/>
            </a:endParaRPr>
          </a:p>
        </xdr:txBody>
      </xdr:sp>
      <xdr:sp macro="" textlink="">
        <xdr:nvSpPr>
          <xdr:cNvPr id="3" name="Rectangle: Rounded Corners 2">
            <a:extLst>
              <a:ext uri="{FF2B5EF4-FFF2-40B4-BE49-F238E27FC236}">
                <a16:creationId xmlns:a16="http://schemas.microsoft.com/office/drawing/2014/main" id="{A004EA81-5636-49CD-84FB-931012F11D34}"/>
              </a:ext>
            </a:extLst>
          </xdr:cNvPr>
          <xdr:cNvSpPr/>
        </xdr:nvSpPr>
        <xdr:spPr>
          <a:xfrm>
            <a:off x="7139768" y="212360"/>
            <a:ext cx="6484384" cy="81788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grpSp>
    <xdr:clientData/>
  </xdr:twoCellAnchor>
  <xdr:twoCellAnchor>
    <xdr:from>
      <xdr:col>0</xdr:col>
      <xdr:colOff>207645</xdr:colOff>
      <xdr:row>5</xdr:row>
      <xdr:rowOff>9160</xdr:rowOff>
    </xdr:from>
    <xdr:to>
      <xdr:col>23</xdr:col>
      <xdr:colOff>109432</xdr:colOff>
      <xdr:row>11</xdr:row>
      <xdr:rowOff>142510</xdr:rowOff>
    </xdr:to>
    <xdr:grpSp>
      <xdr:nvGrpSpPr>
        <xdr:cNvPr id="21" name="Group 20">
          <a:extLst>
            <a:ext uri="{FF2B5EF4-FFF2-40B4-BE49-F238E27FC236}">
              <a16:creationId xmlns:a16="http://schemas.microsoft.com/office/drawing/2014/main" id="{B2E8E3E5-5F5C-F127-7FD8-84068B512341}"/>
            </a:ext>
          </a:extLst>
        </xdr:cNvPr>
        <xdr:cNvGrpSpPr/>
      </xdr:nvGrpSpPr>
      <xdr:grpSpPr>
        <a:xfrm>
          <a:off x="207645" y="1047385"/>
          <a:ext cx="13484437" cy="1352550"/>
          <a:chOff x="53340" y="990599"/>
          <a:chExt cx="13967460" cy="905255"/>
        </a:xfrm>
      </xdr:grpSpPr>
      <xdr:sp macro="" textlink="KPIs!#REF!">
        <xdr:nvSpPr>
          <xdr:cNvPr id="5" name="Rectangle: Rounded Corners 4">
            <a:extLst>
              <a:ext uri="{FF2B5EF4-FFF2-40B4-BE49-F238E27FC236}">
                <a16:creationId xmlns:a16="http://schemas.microsoft.com/office/drawing/2014/main" id="{0F2BBA8F-B3E7-483F-B6E4-7B41C360F777}"/>
              </a:ext>
            </a:extLst>
          </xdr:cNvPr>
          <xdr:cNvSpPr/>
        </xdr:nvSpPr>
        <xdr:spPr>
          <a:xfrm>
            <a:off x="53340" y="990599"/>
            <a:ext cx="2560320" cy="90525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sp macro="" textlink="">
        <xdr:nvSpPr>
          <xdr:cNvPr id="17" name="Rectangle: Rounded Corners 16">
            <a:extLst>
              <a:ext uri="{FF2B5EF4-FFF2-40B4-BE49-F238E27FC236}">
                <a16:creationId xmlns:a16="http://schemas.microsoft.com/office/drawing/2014/main" id="{51AC703B-80C6-4ACD-8BB7-0CC680217C5D}"/>
              </a:ext>
            </a:extLst>
          </xdr:cNvPr>
          <xdr:cNvSpPr/>
        </xdr:nvSpPr>
        <xdr:spPr>
          <a:xfrm>
            <a:off x="2905125" y="990599"/>
            <a:ext cx="2560320" cy="90525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sp macro="" textlink="">
        <xdr:nvSpPr>
          <xdr:cNvPr id="18" name="Rectangle: Rounded Corners 17">
            <a:extLst>
              <a:ext uri="{FF2B5EF4-FFF2-40B4-BE49-F238E27FC236}">
                <a16:creationId xmlns:a16="http://schemas.microsoft.com/office/drawing/2014/main" id="{5EE51D00-EE30-4B2B-B71A-E470DF977AA5}"/>
              </a:ext>
            </a:extLst>
          </xdr:cNvPr>
          <xdr:cNvSpPr/>
        </xdr:nvSpPr>
        <xdr:spPr>
          <a:xfrm>
            <a:off x="5756910" y="990599"/>
            <a:ext cx="2560320" cy="90525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sp macro="" textlink="">
        <xdr:nvSpPr>
          <xdr:cNvPr id="19" name="Rectangle: Rounded Corners 18">
            <a:extLst>
              <a:ext uri="{FF2B5EF4-FFF2-40B4-BE49-F238E27FC236}">
                <a16:creationId xmlns:a16="http://schemas.microsoft.com/office/drawing/2014/main" id="{2EABA94C-0078-4F4B-8BFF-B235750299A1}"/>
              </a:ext>
            </a:extLst>
          </xdr:cNvPr>
          <xdr:cNvSpPr/>
        </xdr:nvSpPr>
        <xdr:spPr>
          <a:xfrm>
            <a:off x="8608695" y="990599"/>
            <a:ext cx="2560320" cy="90525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sp macro="" textlink="">
        <xdr:nvSpPr>
          <xdr:cNvPr id="20" name="Rectangle: Rounded Corners 19">
            <a:extLst>
              <a:ext uri="{FF2B5EF4-FFF2-40B4-BE49-F238E27FC236}">
                <a16:creationId xmlns:a16="http://schemas.microsoft.com/office/drawing/2014/main" id="{7032773A-62A7-448C-BEF7-AE0381E0C5D0}"/>
              </a:ext>
            </a:extLst>
          </xdr:cNvPr>
          <xdr:cNvSpPr/>
        </xdr:nvSpPr>
        <xdr:spPr>
          <a:xfrm>
            <a:off x="11460480" y="990599"/>
            <a:ext cx="2560320" cy="90525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grpSp>
    <xdr:clientData/>
  </xdr:twoCellAnchor>
  <xdr:oneCellAnchor>
    <xdr:from>
      <xdr:col>1</xdr:col>
      <xdr:colOff>190500</xdr:colOff>
      <xdr:row>5</xdr:row>
      <xdr:rowOff>55244</xdr:rowOff>
    </xdr:from>
    <xdr:ext cx="1771650" cy="563881"/>
    <xdr:sp macro="" textlink="">
      <xdr:nvSpPr>
        <xdr:cNvPr id="28" name="TextBox 27">
          <a:extLst>
            <a:ext uri="{FF2B5EF4-FFF2-40B4-BE49-F238E27FC236}">
              <a16:creationId xmlns:a16="http://schemas.microsoft.com/office/drawing/2014/main" id="{EC5E9477-B123-EAD2-2754-1910F560C8A9}"/>
            </a:ext>
          </a:extLst>
        </xdr:cNvPr>
        <xdr:cNvSpPr txBox="1"/>
      </xdr:nvSpPr>
      <xdr:spPr>
        <a:xfrm>
          <a:off x="781050" y="1093469"/>
          <a:ext cx="1771650" cy="56388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600" b="1">
              <a:solidFill>
                <a:srgbClr val="2A2F4F"/>
              </a:solidFill>
              <a:latin typeface="Segoe UI" panose="020B0502040204020203" pitchFamily="34" charset="0"/>
              <a:cs typeface="Segoe UI" panose="020B0502040204020203" pitchFamily="34" charset="0"/>
            </a:rPr>
            <a:t>Total Employees</a:t>
          </a:r>
          <a:endParaRPr lang="en-GB" sz="16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5</xdr:col>
      <xdr:colOff>523874</xdr:colOff>
      <xdr:row>5</xdr:row>
      <xdr:rowOff>171450</xdr:rowOff>
    </xdr:from>
    <xdr:ext cx="1866901" cy="333375"/>
    <xdr:sp macro="" textlink="">
      <xdr:nvSpPr>
        <xdr:cNvPr id="41" name="TextBox 40">
          <a:extLst>
            <a:ext uri="{FF2B5EF4-FFF2-40B4-BE49-F238E27FC236}">
              <a16:creationId xmlns:a16="http://schemas.microsoft.com/office/drawing/2014/main" id="{F82283DB-B96F-4E10-943D-91E2D44E03B1}"/>
            </a:ext>
          </a:extLst>
        </xdr:cNvPr>
        <xdr:cNvSpPr txBox="1"/>
      </xdr:nvSpPr>
      <xdr:spPr>
        <a:xfrm>
          <a:off x="3476624" y="1209675"/>
          <a:ext cx="1866901" cy="3333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600" b="1">
              <a:solidFill>
                <a:srgbClr val="2A2F4F"/>
              </a:solidFill>
              <a:latin typeface="Segoe UI" panose="020B0502040204020203" pitchFamily="34" charset="0"/>
              <a:cs typeface="Segoe UI" panose="020B0502040204020203" pitchFamily="34" charset="0"/>
            </a:rPr>
            <a:t>Active Employees</a:t>
          </a:r>
          <a:endParaRPr lang="en-GB" sz="16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10</xdr:col>
      <xdr:colOff>361949</xdr:colOff>
      <xdr:row>5</xdr:row>
      <xdr:rowOff>64770</xdr:rowOff>
    </xdr:from>
    <xdr:ext cx="1704976" cy="601980"/>
    <xdr:sp macro="" textlink="">
      <xdr:nvSpPr>
        <xdr:cNvPr id="42" name="TextBox 41">
          <a:extLst>
            <a:ext uri="{FF2B5EF4-FFF2-40B4-BE49-F238E27FC236}">
              <a16:creationId xmlns:a16="http://schemas.microsoft.com/office/drawing/2014/main" id="{1851FDF3-C271-4DA6-92EF-41986B4461F9}"/>
            </a:ext>
          </a:extLst>
        </xdr:cNvPr>
        <xdr:cNvSpPr txBox="1"/>
      </xdr:nvSpPr>
      <xdr:spPr>
        <a:xfrm>
          <a:off x="6267449" y="1102995"/>
          <a:ext cx="1704976" cy="60198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600" b="1">
              <a:solidFill>
                <a:srgbClr val="2A2F4F"/>
              </a:solidFill>
              <a:latin typeface="Segoe UI" panose="020B0502040204020203" pitchFamily="34" charset="0"/>
              <a:cs typeface="Segoe UI" panose="020B0502040204020203" pitchFamily="34" charset="0"/>
            </a:rPr>
            <a:t>Attrition</a:t>
          </a:r>
          <a:endParaRPr lang="en-GB" sz="16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15</xdr:col>
      <xdr:colOff>225425</xdr:colOff>
      <xdr:row>5</xdr:row>
      <xdr:rowOff>74293</xdr:rowOff>
    </xdr:from>
    <xdr:ext cx="1733549" cy="582931"/>
    <xdr:sp macro="" textlink="">
      <xdr:nvSpPr>
        <xdr:cNvPr id="43" name="TextBox 42">
          <a:extLst>
            <a:ext uri="{FF2B5EF4-FFF2-40B4-BE49-F238E27FC236}">
              <a16:creationId xmlns:a16="http://schemas.microsoft.com/office/drawing/2014/main" id="{C3E35DF2-6FC1-4CE8-9CE3-532B4EF7271E}"/>
            </a:ext>
          </a:extLst>
        </xdr:cNvPr>
        <xdr:cNvSpPr txBox="1"/>
      </xdr:nvSpPr>
      <xdr:spPr>
        <a:xfrm>
          <a:off x="9083675" y="1112518"/>
          <a:ext cx="1733549" cy="58293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600" b="1">
              <a:solidFill>
                <a:srgbClr val="2A2F4F"/>
              </a:solidFill>
              <a:latin typeface="Segoe UI" panose="020B0502040204020203" pitchFamily="34" charset="0"/>
              <a:cs typeface="Segoe UI" panose="020B0502040204020203" pitchFamily="34" charset="0"/>
            </a:rPr>
            <a:t>Attrition Rate</a:t>
          </a:r>
          <a:endParaRPr lang="en-GB" sz="16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20</xdr:col>
      <xdr:colOff>76200</xdr:colOff>
      <xdr:row>5</xdr:row>
      <xdr:rowOff>76199</xdr:rowOff>
    </xdr:from>
    <xdr:ext cx="1514475" cy="571501"/>
    <xdr:sp macro="" textlink="">
      <xdr:nvSpPr>
        <xdr:cNvPr id="44" name="TextBox 43">
          <a:extLst>
            <a:ext uri="{FF2B5EF4-FFF2-40B4-BE49-F238E27FC236}">
              <a16:creationId xmlns:a16="http://schemas.microsoft.com/office/drawing/2014/main" id="{05FAD6BF-6C3D-4B2F-922B-77183A9075BE}"/>
            </a:ext>
          </a:extLst>
        </xdr:cNvPr>
        <xdr:cNvSpPr txBox="1"/>
      </xdr:nvSpPr>
      <xdr:spPr>
        <a:xfrm>
          <a:off x="11887200" y="1114424"/>
          <a:ext cx="1514475" cy="5715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600" b="1">
              <a:solidFill>
                <a:srgbClr val="2A2F4F"/>
              </a:solidFill>
              <a:latin typeface="Segoe UI" panose="020B0502040204020203" pitchFamily="34" charset="0"/>
              <a:cs typeface="Segoe UI" panose="020B0502040204020203" pitchFamily="34" charset="0"/>
            </a:rPr>
            <a:t>Average</a:t>
          </a:r>
          <a:r>
            <a:rPr lang="lv-LV" sz="1600" b="1" baseline="0">
              <a:solidFill>
                <a:srgbClr val="2A2F4F"/>
              </a:solidFill>
              <a:latin typeface="Segoe UI" panose="020B0502040204020203" pitchFamily="34" charset="0"/>
              <a:cs typeface="Segoe UI" panose="020B0502040204020203" pitchFamily="34" charset="0"/>
            </a:rPr>
            <a:t> Age</a:t>
          </a:r>
          <a:endParaRPr lang="en-GB" sz="1600" b="1">
            <a:solidFill>
              <a:srgbClr val="2A2F4F"/>
            </a:solidFill>
            <a:latin typeface="Segoe UI" panose="020B0502040204020203" pitchFamily="34" charset="0"/>
            <a:cs typeface="Segoe UI" panose="020B0502040204020203" pitchFamily="34" charset="0"/>
          </a:endParaRPr>
        </a:p>
      </xdr:txBody>
    </xdr:sp>
    <xdr:clientData/>
  </xdr:oneCellAnchor>
  <xdr:twoCellAnchor>
    <xdr:from>
      <xdr:col>0</xdr:col>
      <xdr:colOff>419100</xdr:colOff>
      <xdr:row>8</xdr:row>
      <xdr:rowOff>9525</xdr:rowOff>
    </xdr:from>
    <xdr:to>
      <xdr:col>4</xdr:col>
      <xdr:colOff>152400</xdr:colOff>
      <xdr:row>11</xdr:row>
      <xdr:rowOff>28575</xdr:rowOff>
    </xdr:to>
    <xdr:sp macro="" textlink="KPIs!$A$4">
      <xdr:nvSpPr>
        <xdr:cNvPr id="8" name="TextBox 7">
          <a:extLst>
            <a:ext uri="{FF2B5EF4-FFF2-40B4-BE49-F238E27FC236}">
              <a16:creationId xmlns:a16="http://schemas.microsoft.com/office/drawing/2014/main" id="{9BED767B-DFA1-4ED5-9F0A-086625303AC8}"/>
            </a:ext>
          </a:extLst>
        </xdr:cNvPr>
        <xdr:cNvSpPr txBox="1"/>
      </xdr:nvSpPr>
      <xdr:spPr>
        <a:xfrm>
          <a:off x="419100" y="1657350"/>
          <a:ext cx="2095500" cy="628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4B0B5F-B98C-4DA1-8087-6590A7CC226A}" type="TxLink">
            <a:rPr lang="en-US" sz="3600" b="1" i="0" u="none" strike="noStrike">
              <a:solidFill>
                <a:srgbClr val="00ABB3"/>
              </a:solidFill>
              <a:latin typeface="Segoi ui"/>
              <a:ea typeface="+mn-ea"/>
              <a:cs typeface="Calibri"/>
            </a:rPr>
            <a:pPr marL="0" indent="0" algn="ctr"/>
            <a:t>1470</a:t>
          </a:fld>
          <a:endParaRPr lang="en-US" sz="3600" b="1" i="0" u="none" strike="noStrike">
            <a:solidFill>
              <a:srgbClr val="00ABB3"/>
            </a:solidFill>
            <a:latin typeface="Segoi ui"/>
            <a:ea typeface="+mn-ea"/>
            <a:cs typeface="Calibri"/>
          </a:endParaRPr>
        </a:p>
      </xdr:txBody>
    </xdr:sp>
    <xdr:clientData/>
  </xdr:twoCellAnchor>
  <xdr:twoCellAnchor editAs="oneCell">
    <xdr:from>
      <xdr:col>0</xdr:col>
      <xdr:colOff>333375</xdr:colOff>
      <xdr:row>5</xdr:row>
      <xdr:rowOff>106891</xdr:rowOff>
    </xdr:from>
    <xdr:to>
      <xdr:col>1</xdr:col>
      <xdr:colOff>200025</xdr:colOff>
      <xdr:row>7</xdr:row>
      <xdr:rowOff>164041</xdr:rowOff>
    </xdr:to>
    <xdr:pic>
      <xdr:nvPicPr>
        <xdr:cNvPr id="10" name="Picture 9">
          <a:extLst>
            <a:ext uri="{FF2B5EF4-FFF2-40B4-BE49-F238E27FC236}">
              <a16:creationId xmlns:a16="http://schemas.microsoft.com/office/drawing/2014/main" id="{987BBFA2-0DCF-48C2-A030-0EAB61A83DD5}"/>
            </a:ext>
          </a:extLst>
        </xdr:cNvPr>
        <xdr:cNvPicPr>
          <a:picLocks noChangeAspect="1"/>
        </xdr:cNvPicPr>
      </xdr:nvPicPr>
      <xdr:blipFill>
        <a:blip xmlns:r="http://schemas.openxmlformats.org/officeDocument/2006/relationships" r:embed="rId1"/>
        <a:stretch>
          <a:fillRect/>
        </a:stretch>
      </xdr:blipFill>
      <xdr:spPr>
        <a:xfrm>
          <a:off x="333375" y="1145116"/>
          <a:ext cx="457200" cy="457200"/>
        </a:xfrm>
        <a:prstGeom prst="rect">
          <a:avLst/>
        </a:prstGeom>
      </xdr:spPr>
    </xdr:pic>
    <xdr:clientData/>
  </xdr:twoCellAnchor>
  <xdr:twoCellAnchor editAs="oneCell">
    <xdr:from>
      <xdr:col>5</xdr:col>
      <xdr:colOff>85724</xdr:colOff>
      <xdr:row>5</xdr:row>
      <xdr:rowOff>106889</xdr:rowOff>
    </xdr:from>
    <xdr:to>
      <xdr:col>5</xdr:col>
      <xdr:colOff>542924</xdr:colOff>
      <xdr:row>7</xdr:row>
      <xdr:rowOff>164039</xdr:rowOff>
    </xdr:to>
    <xdr:pic>
      <xdr:nvPicPr>
        <xdr:cNvPr id="11" name="Picture 10">
          <a:extLst>
            <a:ext uri="{FF2B5EF4-FFF2-40B4-BE49-F238E27FC236}">
              <a16:creationId xmlns:a16="http://schemas.microsoft.com/office/drawing/2014/main" id="{4CE1AD1D-B9A6-4F75-9598-32C7F1D2F4A8}"/>
            </a:ext>
          </a:extLst>
        </xdr:cNvPr>
        <xdr:cNvPicPr>
          <a:picLocks noChangeAspect="1"/>
        </xdr:cNvPicPr>
      </xdr:nvPicPr>
      <xdr:blipFill>
        <a:blip xmlns:r="http://schemas.openxmlformats.org/officeDocument/2006/relationships" r:embed="rId2"/>
        <a:stretch>
          <a:fillRect/>
        </a:stretch>
      </xdr:blipFill>
      <xdr:spPr>
        <a:xfrm>
          <a:off x="3038474" y="1145114"/>
          <a:ext cx="457200" cy="457200"/>
        </a:xfrm>
        <a:prstGeom prst="rect">
          <a:avLst/>
        </a:prstGeom>
      </xdr:spPr>
    </xdr:pic>
    <xdr:clientData/>
  </xdr:twoCellAnchor>
  <xdr:twoCellAnchor>
    <xdr:from>
      <xdr:col>5</xdr:col>
      <xdr:colOff>200025</xdr:colOff>
      <xdr:row>8</xdr:row>
      <xdr:rowOff>19050</xdr:rowOff>
    </xdr:from>
    <xdr:to>
      <xdr:col>8</xdr:col>
      <xdr:colOff>504825</xdr:colOff>
      <xdr:row>11</xdr:row>
      <xdr:rowOff>28575</xdr:rowOff>
    </xdr:to>
    <xdr:sp macro="" textlink="KPIs!B4">
      <xdr:nvSpPr>
        <xdr:cNvPr id="45" name="TextBox 44">
          <a:extLst>
            <a:ext uri="{FF2B5EF4-FFF2-40B4-BE49-F238E27FC236}">
              <a16:creationId xmlns:a16="http://schemas.microsoft.com/office/drawing/2014/main" id="{A61EFE63-7F27-4648-92DD-BF00523FB443}"/>
            </a:ext>
          </a:extLst>
        </xdr:cNvPr>
        <xdr:cNvSpPr txBox="1"/>
      </xdr:nvSpPr>
      <xdr:spPr>
        <a:xfrm>
          <a:off x="3152775" y="1666875"/>
          <a:ext cx="2076450" cy="619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C1677E0-3FD2-4CB5-97C5-503F934732DB}" type="TxLink">
            <a:rPr lang="en-US" sz="3600" b="1" i="0" u="none" strike="noStrike">
              <a:solidFill>
                <a:srgbClr val="00ABB3"/>
              </a:solidFill>
              <a:latin typeface="Segoi ui"/>
              <a:ea typeface="+mn-ea"/>
              <a:cs typeface="Calibri"/>
            </a:rPr>
            <a:pPr marL="0" indent="0" algn="ctr"/>
            <a:t>1233</a:t>
          </a:fld>
          <a:endParaRPr lang="en-US" sz="3600" b="1" i="0" u="none" strike="noStrike">
            <a:solidFill>
              <a:srgbClr val="00ABB3"/>
            </a:solidFill>
            <a:latin typeface="Segoi ui"/>
            <a:ea typeface="+mn-ea"/>
            <a:cs typeface="Calibri"/>
          </a:endParaRPr>
        </a:p>
      </xdr:txBody>
    </xdr:sp>
    <xdr:clientData/>
  </xdr:twoCellAnchor>
  <xdr:twoCellAnchor editAs="oneCell">
    <xdr:from>
      <xdr:col>9</xdr:col>
      <xdr:colOff>561975</xdr:colOff>
      <xdr:row>5</xdr:row>
      <xdr:rowOff>123825</xdr:rowOff>
    </xdr:from>
    <xdr:to>
      <xdr:col>10</xdr:col>
      <xdr:colOff>428625</xdr:colOff>
      <xdr:row>7</xdr:row>
      <xdr:rowOff>180975</xdr:rowOff>
    </xdr:to>
    <xdr:pic>
      <xdr:nvPicPr>
        <xdr:cNvPr id="46" name="Picture 45">
          <a:extLst>
            <a:ext uri="{FF2B5EF4-FFF2-40B4-BE49-F238E27FC236}">
              <a16:creationId xmlns:a16="http://schemas.microsoft.com/office/drawing/2014/main" id="{11543037-D9AF-4568-BA5A-DF1641A6D125}"/>
            </a:ext>
          </a:extLst>
        </xdr:cNvPr>
        <xdr:cNvPicPr>
          <a:picLocks noChangeAspect="1"/>
        </xdr:cNvPicPr>
      </xdr:nvPicPr>
      <xdr:blipFill>
        <a:blip xmlns:r="http://schemas.openxmlformats.org/officeDocument/2006/relationships" r:embed="rId3"/>
        <a:stretch>
          <a:fillRect/>
        </a:stretch>
      </xdr:blipFill>
      <xdr:spPr>
        <a:xfrm>
          <a:off x="5876925" y="1162050"/>
          <a:ext cx="457200" cy="457200"/>
        </a:xfrm>
        <a:prstGeom prst="rect">
          <a:avLst/>
        </a:prstGeom>
      </xdr:spPr>
    </xdr:pic>
    <xdr:clientData/>
  </xdr:twoCellAnchor>
  <xdr:twoCellAnchor editAs="oneCell">
    <xdr:from>
      <xdr:col>14</xdr:col>
      <xdr:colOff>316441</xdr:colOff>
      <xdr:row>5</xdr:row>
      <xdr:rowOff>85725</xdr:rowOff>
    </xdr:from>
    <xdr:to>
      <xdr:col>15</xdr:col>
      <xdr:colOff>183091</xdr:colOff>
      <xdr:row>7</xdr:row>
      <xdr:rowOff>142875</xdr:rowOff>
    </xdr:to>
    <xdr:pic>
      <xdr:nvPicPr>
        <xdr:cNvPr id="47" name="Picture 46">
          <a:extLst>
            <a:ext uri="{FF2B5EF4-FFF2-40B4-BE49-F238E27FC236}">
              <a16:creationId xmlns:a16="http://schemas.microsoft.com/office/drawing/2014/main" id="{D40D2B44-B7B2-4B27-8EC2-EC8A015FBC87}"/>
            </a:ext>
          </a:extLst>
        </xdr:cNvPr>
        <xdr:cNvPicPr>
          <a:picLocks noChangeAspect="1"/>
        </xdr:cNvPicPr>
      </xdr:nvPicPr>
      <xdr:blipFill>
        <a:blip xmlns:r="http://schemas.openxmlformats.org/officeDocument/2006/relationships" r:embed="rId4"/>
        <a:stretch>
          <a:fillRect/>
        </a:stretch>
      </xdr:blipFill>
      <xdr:spPr>
        <a:xfrm>
          <a:off x="8584141" y="1123950"/>
          <a:ext cx="457200" cy="457200"/>
        </a:xfrm>
        <a:prstGeom prst="rect">
          <a:avLst/>
        </a:prstGeom>
      </xdr:spPr>
    </xdr:pic>
    <xdr:clientData/>
  </xdr:twoCellAnchor>
  <xdr:twoCellAnchor editAs="oneCell">
    <xdr:from>
      <xdr:col>19</xdr:col>
      <xdr:colOff>128904</xdr:colOff>
      <xdr:row>5</xdr:row>
      <xdr:rowOff>95249</xdr:rowOff>
    </xdr:from>
    <xdr:to>
      <xdr:col>19</xdr:col>
      <xdr:colOff>586104</xdr:colOff>
      <xdr:row>7</xdr:row>
      <xdr:rowOff>152399</xdr:rowOff>
    </xdr:to>
    <xdr:pic>
      <xdr:nvPicPr>
        <xdr:cNvPr id="48" name="Picture 47">
          <a:extLst>
            <a:ext uri="{FF2B5EF4-FFF2-40B4-BE49-F238E27FC236}">
              <a16:creationId xmlns:a16="http://schemas.microsoft.com/office/drawing/2014/main" id="{E0020B59-960F-4AA6-8D8C-179D3625661F}"/>
            </a:ext>
          </a:extLst>
        </xdr:cNvPr>
        <xdr:cNvPicPr>
          <a:picLocks noChangeAspect="1"/>
        </xdr:cNvPicPr>
      </xdr:nvPicPr>
      <xdr:blipFill>
        <a:blip xmlns:r="http://schemas.openxmlformats.org/officeDocument/2006/relationships" r:embed="rId5"/>
        <a:stretch>
          <a:fillRect/>
        </a:stretch>
      </xdr:blipFill>
      <xdr:spPr>
        <a:xfrm flipH="1">
          <a:off x="11349354" y="1133474"/>
          <a:ext cx="457200" cy="457200"/>
        </a:xfrm>
        <a:prstGeom prst="rect">
          <a:avLst/>
        </a:prstGeom>
      </xdr:spPr>
    </xdr:pic>
    <xdr:clientData/>
  </xdr:twoCellAnchor>
  <xdr:twoCellAnchor>
    <xdr:from>
      <xdr:col>9</xdr:col>
      <xdr:colOff>571500</xdr:colOff>
      <xdr:row>8</xdr:row>
      <xdr:rowOff>19050</xdr:rowOff>
    </xdr:from>
    <xdr:to>
      <xdr:col>13</xdr:col>
      <xdr:colOff>285750</xdr:colOff>
      <xdr:row>11</xdr:row>
      <xdr:rowOff>19049</xdr:rowOff>
    </xdr:to>
    <xdr:sp macro="" textlink="KPIs!C4">
      <xdr:nvSpPr>
        <xdr:cNvPr id="49" name="TextBox 48">
          <a:extLst>
            <a:ext uri="{FF2B5EF4-FFF2-40B4-BE49-F238E27FC236}">
              <a16:creationId xmlns:a16="http://schemas.microsoft.com/office/drawing/2014/main" id="{275E38A0-B09C-4524-88D7-95C37B32DEA5}"/>
            </a:ext>
          </a:extLst>
        </xdr:cNvPr>
        <xdr:cNvSpPr txBox="1"/>
      </xdr:nvSpPr>
      <xdr:spPr>
        <a:xfrm>
          <a:off x="5886450" y="1666875"/>
          <a:ext cx="2076450" cy="609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8D4E80-47AC-422C-B9BF-9245E642AB8E}" type="TxLink">
            <a:rPr lang="en-US" sz="3600" b="1" i="0" u="none" strike="noStrike">
              <a:solidFill>
                <a:srgbClr val="00ABB3"/>
              </a:solidFill>
              <a:latin typeface="Segoi ui"/>
              <a:ea typeface="+mn-ea"/>
              <a:cs typeface="Calibri"/>
            </a:rPr>
            <a:pPr marL="0" indent="0" algn="ctr"/>
            <a:t>237</a:t>
          </a:fld>
          <a:endParaRPr lang="en-US" sz="3600" b="1" i="0" u="none" strike="noStrike">
            <a:solidFill>
              <a:srgbClr val="00ABB3"/>
            </a:solidFill>
            <a:latin typeface="Segoi ui"/>
            <a:ea typeface="+mn-ea"/>
            <a:cs typeface="Calibri"/>
          </a:endParaRPr>
        </a:p>
      </xdr:txBody>
    </xdr:sp>
    <xdr:clientData/>
  </xdr:twoCellAnchor>
  <xdr:twoCellAnchor>
    <xdr:from>
      <xdr:col>14</xdr:col>
      <xdr:colOff>371475</xdr:colOff>
      <xdr:row>8</xdr:row>
      <xdr:rowOff>9525</xdr:rowOff>
    </xdr:from>
    <xdr:to>
      <xdr:col>18</xdr:col>
      <xdr:colOff>137583</xdr:colOff>
      <xdr:row>11</xdr:row>
      <xdr:rowOff>9524</xdr:rowOff>
    </xdr:to>
    <xdr:sp macro="" textlink="KPIs!D4">
      <xdr:nvSpPr>
        <xdr:cNvPr id="50" name="TextBox 49">
          <a:extLst>
            <a:ext uri="{FF2B5EF4-FFF2-40B4-BE49-F238E27FC236}">
              <a16:creationId xmlns:a16="http://schemas.microsoft.com/office/drawing/2014/main" id="{EE61C45D-712A-40A5-B8C9-8FBA6DAA8E71}"/>
            </a:ext>
          </a:extLst>
        </xdr:cNvPr>
        <xdr:cNvSpPr txBox="1"/>
      </xdr:nvSpPr>
      <xdr:spPr>
        <a:xfrm>
          <a:off x="8639175" y="1657350"/>
          <a:ext cx="2128308" cy="609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4328BE-0CBC-4530-B199-038005EDCC01}" type="TxLink">
            <a:rPr lang="en-US" sz="3600" b="1" i="0" u="none" strike="noStrike">
              <a:solidFill>
                <a:srgbClr val="00ABB3"/>
              </a:solidFill>
              <a:latin typeface="Segoi ui"/>
              <a:ea typeface="+mn-ea"/>
              <a:cs typeface="Calibri"/>
            </a:rPr>
            <a:pPr marL="0" indent="0" algn="ctr"/>
            <a:t>16%</a:t>
          </a:fld>
          <a:endParaRPr lang="en-US" sz="3600" b="1" i="0" u="none" strike="noStrike">
            <a:solidFill>
              <a:srgbClr val="00ABB3"/>
            </a:solidFill>
            <a:latin typeface="Segoi ui"/>
            <a:ea typeface="+mn-ea"/>
            <a:cs typeface="Calibri"/>
          </a:endParaRPr>
        </a:p>
      </xdr:txBody>
    </xdr:sp>
    <xdr:clientData/>
  </xdr:twoCellAnchor>
  <xdr:twoCellAnchor>
    <xdr:from>
      <xdr:col>19</xdr:col>
      <xdr:colOff>133350</xdr:colOff>
      <xdr:row>8</xdr:row>
      <xdr:rowOff>9525</xdr:rowOff>
    </xdr:from>
    <xdr:to>
      <xdr:col>22</xdr:col>
      <xdr:colOff>438150</xdr:colOff>
      <xdr:row>11</xdr:row>
      <xdr:rowOff>9524</xdr:rowOff>
    </xdr:to>
    <xdr:sp macro="" textlink="KPIs!E4">
      <xdr:nvSpPr>
        <xdr:cNvPr id="51" name="TextBox 50">
          <a:extLst>
            <a:ext uri="{FF2B5EF4-FFF2-40B4-BE49-F238E27FC236}">
              <a16:creationId xmlns:a16="http://schemas.microsoft.com/office/drawing/2014/main" id="{6D849942-56EA-4154-A428-6F2E8DCACF1B}"/>
            </a:ext>
          </a:extLst>
        </xdr:cNvPr>
        <xdr:cNvSpPr txBox="1"/>
      </xdr:nvSpPr>
      <xdr:spPr>
        <a:xfrm>
          <a:off x="11353800" y="1657350"/>
          <a:ext cx="2076450" cy="609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6D6AA-4F58-4516-B346-896107A97223}" type="TxLink">
            <a:rPr lang="en-US" sz="3600" b="1" i="0" u="none" strike="noStrike">
              <a:solidFill>
                <a:srgbClr val="00ABB3"/>
              </a:solidFill>
              <a:latin typeface="Segoi ui"/>
              <a:ea typeface="+mn-ea"/>
              <a:cs typeface="Calibri"/>
            </a:rPr>
            <a:pPr marL="0" indent="0" algn="ctr"/>
            <a:t>37</a:t>
          </a:fld>
          <a:endParaRPr lang="en-US" sz="3600" b="1" i="0" u="none" strike="noStrike">
            <a:solidFill>
              <a:srgbClr val="00ABB3"/>
            </a:solidFill>
            <a:latin typeface="Segoi ui"/>
            <a:ea typeface="+mn-ea"/>
            <a:cs typeface="Calibri"/>
          </a:endParaRPr>
        </a:p>
      </xdr:txBody>
    </xdr:sp>
    <xdr:clientData/>
  </xdr:twoCellAnchor>
  <xdr:twoCellAnchor>
    <xdr:from>
      <xdr:col>0</xdr:col>
      <xdr:colOff>231774</xdr:colOff>
      <xdr:row>12</xdr:row>
      <xdr:rowOff>57151</xdr:rowOff>
    </xdr:from>
    <xdr:to>
      <xdr:col>7</xdr:col>
      <xdr:colOff>19050</xdr:colOff>
      <xdr:row>22</xdr:row>
      <xdr:rowOff>171451</xdr:rowOff>
    </xdr:to>
    <xdr:sp macro="" textlink="">
      <xdr:nvSpPr>
        <xdr:cNvPr id="52" name="Rectangle: Rounded Corners 51">
          <a:extLst>
            <a:ext uri="{FF2B5EF4-FFF2-40B4-BE49-F238E27FC236}">
              <a16:creationId xmlns:a16="http://schemas.microsoft.com/office/drawing/2014/main" id="{B797098F-5AFC-427C-80DE-C7B9A81DABBD}"/>
            </a:ext>
          </a:extLst>
        </xdr:cNvPr>
        <xdr:cNvSpPr/>
      </xdr:nvSpPr>
      <xdr:spPr>
        <a:xfrm>
          <a:off x="231774" y="2524126"/>
          <a:ext cx="3921126" cy="2209800"/>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xdr:from>
      <xdr:col>7</xdr:col>
      <xdr:colOff>304800</xdr:colOff>
      <xdr:row>12</xdr:row>
      <xdr:rowOff>59505</xdr:rowOff>
    </xdr:from>
    <xdr:to>
      <xdr:col>15</xdr:col>
      <xdr:colOff>247650</xdr:colOff>
      <xdr:row>22</xdr:row>
      <xdr:rowOff>166649</xdr:rowOff>
    </xdr:to>
    <xdr:sp macro="" textlink="">
      <xdr:nvSpPr>
        <xdr:cNvPr id="53" name="Rectangle: Rounded Corners 52">
          <a:extLst>
            <a:ext uri="{FF2B5EF4-FFF2-40B4-BE49-F238E27FC236}">
              <a16:creationId xmlns:a16="http://schemas.microsoft.com/office/drawing/2014/main" id="{133BC03A-AB99-4448-B2DA-3D0965EE9723}"/>
            </a:ext>
          </a:extLst>
        </xdr:cNvPr>
        <xdr:cNvSpPr/>
      </xdr:nvSpPr>
      <xdr:spPr>
        <a:xfrm>
          <a:off x="4438650" y="2526480"/>
          <a:ext cx="4667250" cy="2202644"/>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xdr:from>
      <xdr:col>15</xdr:col>
      <xdr:colOff>484844</xdr:colOff>
      <xdr:row>12</xdr:row>
      <xdr:rowOff>69029</xdr:rowOff>
    </xdr:from>
    <xdr:to>
      <xdr:col>23</xdr:col>
      <xdr:colOff>95462</xdr:colOff>
      <xdr:row>25</xdr:row>
      <xdr:rowOff>66674</xdr:rowOff>
    </xdr:to>
    <xdr:sp macro="" textlink="">
      <xdr:nvSpPr>
        <xdr:cNvPr id="54" name="Rectangle: Rounded Corners 53">
          <a:extLst>
            <a:ext uri="{FF2B5EF4-FFF2-40B4-BE49-F238E27FC236}">
              <a16:creationId xmlns:a16="http://schemas.microsoft.com/office/drawing/2014/main" id="{FEC5A91F-63EE-4881-BCCE-E5ACAE430D01}"/>
            </a:ext>
          </a:extLst>
        </xdr:cNvPr>
        <xdr:cNvSpPr/>
      </xdr:nvSpPr>
      <xdr:spPr>
        <a:xfrm>
          <a:off x="9343094" y="2536004"/>
          <a:ext cx="4335018" cy="272179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editAs="oneCell">
    <xdr:from>
      <xdr:col>0</xdr:col>
      <xdr:colOff>465668</xdr:colOff>
      <xdr:row>1</xdr:row>
      <xdr:rowOff>17992</xdr:rowOff>
    </xdr:from>
    <xdr:to>
      <xdr:col>1</xdr:col>
      <xdr:colOff>513081</xdr:colOff>
      <xdr:row>4</xdr:row>
      <xdr:rowOff>23072</xdr:rowOff>
    </xdr:to>
    <xdr:pic>
      <xdr:nvPicPr>
        <xdr:cNvPr id="58" name="Picture 57">
          <a:extLst>
            <a:ext uri="{FF2B5EF4-FFF2-40B4-BE49-F238E27FC236}">
              <a16:creationId xmlns:a16="http://schemas.microsoft.com/office/drawing/2014/main" id="{CD8343AF-FD5B-49AB-8C81-9CA7C54FCCB2}"/>
            </a:ext>
          </a:extLst>
        </xdr:cNvPr>
        <xdr:cNvPicPr>
          <a:picLocks noChangeAspect="1"/>
        </xdr:cNvPicPr>
      </xdr:nvPicPr>
      <xdr:blipFill>
        <a:blip xmlns:r="http://schemas.openxmlformats.org/officeDocument/2006/relationships" r:embed="rId6"/>
        <a:stretch>
          <a:fillRect/>
        </a:stretch>
      </xdr:blipFill>
      <xdr:spPr>
        <a:xfrm>
          <a:off x="465668" y="227542"/>
          <a:ext cx="637963" cy="633730"/>
        </a:xfrm>
        <a:prstGeom prst="rect">
          <a:avLst/>
        </a:prstGeom>
      </xdr:spPr>
    </xdr:pic>
    <xdr:clientData/>
  </xdr:twoCellAnchor>
  <xdr:oneCellAnchor>
    <xdr:from>
      <xdr:col>0</xdr:col>
      <xdr:colOff>495300</xdr:colOff>
      <xdr:row>12</xdr:row>
      <xdr:rowOff>65830</xdr:rowOff>
    </xdr:from>
    <xdr:ext cx="3162300" cy="457200"/>
    <xdr:sp macro="" textlink="">
      <xdr:nvSpPr>
        <xdr:cNvPr id="60" name="TextBox 59">
          <a:extLst>
            <a:ext uri="{FF2B5EF4-FFF2-40B4-BE49-F238E27FC236}">
              <a16:creationId xmlns:a16="http://schemas.microsoft.com/office/drawing/2014/main" id="{2279B324-28ED-4627-AC9F-4E3A8DA61A10}"/>
            </a:ext>
          </a:extLst>
        </xdr:cNvPr>
        <xdr:cNvSpPr txBox="1"/>
      </xdr:nvSpPr>
      <xdr:spPr>
        <a:xfrm>
          <a:off x="495300" y="2532805"/>
          <a:ext cx="316230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Total Employees by Gender</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13</xdr:col>
      <xdr:colOff>364977</xdr:colOff>
      <xdr:row>0</xdr:row>
      <xdr:rowOff>125941</xdr:rowOff>
    </xdr:from>
    <xdr:ext cx="2847974" cy="783167"/>
    <xdr:sp macro="" textlink="">
      <xdr:nvSpPr>
        <xdr:cNvPr id="62" name="TextBox 61">
          <a:extLst>
            <a:ext uri="{FF2B5EF4-FFF2-40B4-BE49-F238E27FC236}">
              <a16:creationId xmlns:a16="http://schemas.microsoft.com/office/drawing/2014/main" id="{BF6A58B3-E3DF-42D6-9086-CE9922288729}"/>
            </a:ext>
          </a:extLst>
        </xdr:cNvPr>
        <xdr:cNvSpPr txBox="1"/>
      </xdr:nvSpPr>
      <xdr:spPr>
        <a:xfrm>
          <a:off x="8009825" y="125941"/>
          <a:ext cx="2847974" cy="783167"/>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lv-LV" sz="1800" b="1">
              <a:solidFill>
                <a:srgbClr val="2A2F4F"/>
              </a:solidFill>
              <a:latin typeface="Segoe UI" panose="020B0502040204020203" pitchFamily="34" charset="0"/>
              <a:cs typeface="Segoe UI" panose="020B0502040204020203" pitchFamily="34" charset="0"/>
            </a:rPr>
            <a:t>Job Satisfaction Rating</a:t>
          </a:r>
          <a:endParaRPr lang="en-GB" sz="1800" b="1">
            <a:solidFill>
              <a:srgbClr val="2A2F4F"/>
            </a:solidFill>
            <a:latin typeface="Segoe UI" panose="020B0502040204020203" pitchFamily="34" charset="0"/>
            <a:cs typeface="Segoe UI" panose="020B0502040204020203" pitchFamily="34" charset="0"/>
          </a:endParaRPr>
        </a:p>
      </xdr:txBody>
    </xdr:sp>
    <xdr:clientData/>
  </xdr:oneCellAnchor>
  <xdr:twoCellAnchor editAs="oneCell">
    <xdr:from>
      <xdr:col>12</xdr:col>
      <xdr:colOff>338659</xdr:colOff>
      <xdr:row>0</xdr:row>
      <xdr:rowOff>187324</xdr:rowOff>
    </xdr:from>
    <xdr:to>
      <xdr:col>13</xdr:col>
      <xdr:colOff>386072</xdr:colOff>
      <xdr:row>3</xdr:row>
      <xdr:rowOff>192404</xdr:rowOff>
    </xdr:to>
    <xdr:pic>
      <xdr:nvPicPr>
        <xdr:cNvPr id="63" name="Picture 62">
          <a:extLst>
            <a:ext uri="{FF2B5EF4-FFF2-40B4-BE49-F238E27FC236}">
              <a16:creationId xmlns:a16="http://schemas.microsoft.com/office/drawing/2014/main" id="{B6CE37B4-7E05-4832-85E4-63E6610244FA}"/>
            </a:ext>
          </a:extLst>
        </xdr:cNvPr>
        <xdr:cNvPicPr>
          <a:picLocks noChangeAspect="1"/>
        </xdr:cNvPicPr>
      </xdr:nvPicPr>
      <xdr:blipFill>
        <a:blip xmlns:r="http://schemas.openxmlformats.org/officeDocument/2006/relationships" r:embed="rId7"/>
        <a:stretch>
          <a:fillRect/>
        </a:stretch>
      </xdr:blipFill>
      <xdr:spPr>
        <a:xfrm>
          <a:off x="7425259" y="187324"/>
          <a:ext cx="637963" cy="633730"/>
        </a:xfrm>
        <a:prstGeom prst="rect">
          <a:avLst/>
        </a:prstGeom>
      </xdr:spPr>
    </xdr:pic>
    <xdr:clientData/>
  </xdr:twoCellAnchor>
  <xdr:twoCellAnchor>
    <xdr:from>
      <xdr:col>19</xdr:col>
      <xdr:colOff>527046</xdr:colOff>
      <xdr:row>0</xdr:row>
      <xdr:rowOff>198933</xdr:rowOff>
    </xdr:from>
    <xdr:to>
      <xdr:col>23</xdr:col>
      <xdr:colOff>11955</xdr:colOff>
      <xdr:row>3</xdr:row>
      <xdr:rowOff>176581</xdr:rowOff>
    </xdr:to>
    <xdr:grpSp>
      <xdr:nvGrpSpPr>
        <xdr:cNvPr id="15" name="Group 14">
          <a:extLst>
            <a:ext uri="{FF2B5EF4-FFF2-40B4-BE49-F238E27FC236}">
              <a16:creationId xmlns:a16="http://schemas.microsoft.com/office/drawing/2014/main" id="{3A75B8D6-E1AD-492E-A9E6-D3CBAE201064}"/>
            </a:ext>
          </a:extLst>
        </xdr:cNvPr>
        <xdr:cNvGrpSpPr/>
      </xdr:nvGrpSpPr>
      <xdr:grpSpPr>
        <a:xfrm>
          <a:off x="11747496" y="198933"/>
          <a:ext cx="1847109" cy="606298"/>
          <a:chOff x="11834717" y="337210"/>
          <a:chExt cx="1851853" cy="608269"/>
        </a:xfrm>
      </xdr:grpSpPr>
      <xdr:grpSp>
        <xdr:nvGrpSpPr>
          <xdr:cNvPr id="6" name="Group 5">
            <a:extLst>
              <a:ext uri="{FF2B5EF4-FFF2-40B4-BE49-F238E27FC236}">
                <a16:creationId xmlns:a16="http://schemas.microsoft.com/office/drawing/2014/main" id="{174D348F-7826-47E3-BC13-F5776E6F2B97}"/>
              </a:ext>
            </a:extLst>
          </xdr:cNvPr>
          <xdr:cNvGrpSpPr/>
        </xdr:nvGrpSpPr>
        <xdr:grpSpPr>
          <a:xfrm>
            <a:off x="11834717" y="337210"/>
            <a:ext cx="1851853" cy="608269"/>
            <a:chOff x="11916833" y="423333"/>
            <a:chExt cx="1856232" cy="612648"/>
          </a:xfrm>
          <a:gradFill flip="none" rotWithShape="1">
            <a:gsLst>
              <a:gs pos="0">
                <a:schemeClr val="bg1"/>
              </a:gs>
              <a:gs pos="100000">
                <a:schemeClr val="bg1">
                  <a:lumMod val="85000"/>
                </a:schemeClr>
              </a:gs>
            </a:gsLst>
            <a:lin ang="2700000" scaled="1"/>
            <a:tileRect/>
          </a:gradFill>
        </xdr:grpSpPr>
        <xdr:graphicFrame macro="">
          <xdr:nvGraphicFramePr>
            <xdr:cNvPr id="38" name="Chart 37">
              <a:extLst>
                <a:ext uri="{FF2B5EF4-FFF2-40B4-BE49-F238E27FC236}">
                  <a16:creationId xmlns:a16="http://schemas.microsoft.com/office/drawing/2014/main" id="{F957FE2A-EC09-4C91-927C-A5C193339FF7}"/>
                </a:ext>
              </a:extLst>
            </xdr:cNvPr>
            <xdr:cNvGraphicFramePr>
              <a:graphicFrameLocks/>
            </xdr:cNvGraphicFramePr>
          </xdr:nvGraphicFramePr>
          <xdr:xfrm>
            <a:off x="11916833" y="423333"/>
            <a:ext cx="1856232" cy="61264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7" name="Freeform: Shape 36">
              <a:extLst>
                <a:ext uri="{FF2B5EF4-FFF2-40B4-BE49-F238E27FC236}">
                  <a16:creationId xmlns:a16="http://schemas.microsoft.com/office/drawing/2014/main" id="{199E5558-89F9-494A-AB3C-89991F3CFBF0}"/>
                </a:ext>
              </a:extLst>
            </xdr:cNvPr>
            <xdr:cNvSpPr/>
          </xdr:nvSpPr>
          <xdr:spPr>
            <a:xfrm>
              <a:off x="12054413" y="550334"/>
              <a:ext cx="1576916" cy="349249"/>
            </a:xfrm>
            <a:custGeom>
              <a:avLst/>
              <a:gdLst>
                <a:gd name="connsiteX0" fmla="*/ 1375793 w 1543572"/>
                <a:gd name="connsiteY0" fmla="*/ 0 h 329184"/>
                <a:gd name="connsiteX1" fmla="*/ 1543572 w 1543572"/>
                <a:gd name="connsiteY1" fmla="*/ 0 h 329184"/>
                <a:gd name="connsiteX2" fmla="*/ 1543572 w 1543572"/>
                <a:gd name="connsiteY2" fmla="*/ 125737 h 329184"/>
                <a:gd name="connsiteX3" fmla="*/ 1415399 w 1543572"/>
                <a:gd name="connsiteY3" fmla="*/ 125738 h 329184"/>
                <a:gd name="connsiteX4" fmla="*/ 167780 w 1543572"/>
                <a:gd name="connsiteY4" fmla="*/ 0 h 329184"/>
                <a:gd name="connsiteX5" fmla="*/ 570451 w 1543572"/>
                <a:gd name="connsiteY5" fmla="*/ 0 h 329184"/>
                <a:gd name="connsiteX6" fmla="*/ 530844 w 1543572"/>
                <a:gd name="connsiteY6" fmla="*/ 125738 h 329184"/>
                <a:gd name="connsiteX7" fmla="*/ 402671 w 1543572"/>
                <a:gd name="connsiteY7" fmla="*/ 125737 h 329184"/>
                <a:gd name="connsiteX8" fmla="*/ 506366 w 1543572"/>
                <a:gd name="connsiteY8" fmla="*/ 203446 h 329184"/>
                <a:gd name="connsiteX9" fmla="*/ 466757 w 1543572"/>
                <a:gd name="connsiteY9" fmla="*/ 329183 h 329184"/>
                <a:gd name="connsiteX10" fmla="*/ 570451 w 1543572"/>
                <a:gd name="connsiteY10" fmla="*/ 251472 h 329184"/>
                <a:gd name="connsiteX11" fmla="*/ 674144 w 1543572"/>
                <a:gd name="connsiteY11" fmla="*/ 329183 h 329184"/>
                <a:gd name="connsiteX12" fmla="*/ 634535 w 1543572"/>
                <a:gd name="connsiteY12" fmla="*/ 203446 h 329184"/>
                <a:gd name="connsiteX13" fmla="*/ 738230 w 1543572"/>
                <a:gd name="connsiteY13" fmla="*/ 125737 h 329184"/>
                <a:gd name="connsiteX14" fmla="*/ 610057 w 1543572"/>
                <a:gd name="connsiteY14" fmla="*/ 125738 h 329184"/>
                <a:gd name="connsiteX15" fmla="*/ 570451 w 1543572"/>
                <a:gd name="connsiteY15" fmla="*/ 0 h 329184"/>
                <a:gd name="connsiteX16" fmla="*/ 973122 w 1543572"/>
                <a:gd name="connsiteY16" fmla="*/ 0 h 329184"/>
                <a:gd name="connsiteX17" fmla="*/ 933515 w 1543572"/>
                <a:gd name="connsiteY17" fmla="*/ 125738 h 329184"/>
                <a:gd name="connsiteX18" fmla="*/ 805342 w 1543572"/>
                <a:gd name="connsiteY18" fmla="*/ 125737 h 329184"/>
                <a:gd name="connsiteX19" fmla="*/ 909037 w 1543572"/>
                <a:gd name="connsiteY19" fmla="*/ 203446 h 329184"/>
                <a:gd name="connsiteX20" fmla="*/ 869428 w 1543572"/>
                <a:gd name="connsiteY20" fmla="*/ 329183 h 329184"/>
                <a:gd name="connsiteX21" fmla="*/ 973122 w 1543572"/>
                <a:gd name="connsiteY21" fmla="*/ 251472 h 329184"/>
                <a:gd name="connsiteX22" fmla="*/ 1076815 w 1543572"/>
                <a:gd name="connsiteY22" fmla="*/ 329183 h 329184"/>
                <a:gd name="connsiteX23" fmla="*/ 1037206 w 1543572"/>
                <a:gd name="connsiteY23" fmla="*/ 203446 h 329184"/>
                <a:gd name="connsiteX24" fmla="*/ 1140901 w 1543572"/>
                <a:gd name="connsiteY24" fmla="*/ 125737 h 329184"/>
                <a:gd name="connsiteX25" fmla="*/ 1012728 w 1543572"/>
                <a:gd name="connsiteY25" fmla="*/ 125738 h 329184"/>
                <a:gd name="connsiteX26" fmla="*/ 973122 w 1543572"/>
                <a:gd name="connsiteY26" fmla="*/ 0 h 329184"/>
                <a:gd name="connsiteX27" fmla="*/ 1375793 w 1543572"/>
                <a:gd name="connsiteY27" fmla="*/ 0 h 329184"/>
                <a:gd name="connsiteX28" fmla="*/ 1336186 w 1543572"/>
                <a:gd name="connsiteY28" fmla="*/ 125738 h 329184"/>
                <a:gd name="connsiteX29" fmla="*/ 1208013 w 1543572"/>
                <a:gd name="connsiteY29" fmla="*/ 125737 h 329184"/>
                <a:gd name="connsiteX30" fmla="*/ 1311708 w 1543572"/>
                <a:gd name="connsiteY30" fmla="*/ 203446 h 329184"/>
                <a:gd name="connsiteX31" fmla="*/ 1272099 w 1543572"/>
                <a:gd name="connsiteY31" fmla="*/ 329183 h 329184"/>
                <a:gd name="connsiteX32" fmla="*/ 1375793 w 1543572"/>
                <a:gd name="connsiteY32" fmla="*/ 251472 h 329184"/>
                <a:gd name="connsiteX33" fmla="*/ 1479486 w 1543572"/>
                <a:gd name="connsiteY33" fmla="*/ 329183 h 329184"/>
                <a:gd name="connsiteX34" fmla="*/ 1439877 w 1543572"/>
                <a:gd name="connsiteY34" fmla="*/ 203446 h 329184"/>
                <a:gd name="connsiteX35" fmla="*/ 1543572 w 1543572"/>
                <a:gd name="connsiteY35" fmla="*/ 125737 h 329184"/>
                <a:gd name="connsiteX36" fmla="*/ 1543572 w 1543572"/>
                <a:gd name="connsiteY36" fmla="*/ 329184 h 329184"/>
                <a:gd name="connsiteX37" fmla="*/ 0 w 1543572"/>
                <a:gd name="connsiteY37" fmla="*/ 329184 h 329184"/>
                <a:gd name="connsiteX38" fmla="*/ 0 w 1543572"/>
                <a:gd name="connsiteY38" fmla="*/ 125737 h 329184"/>
                <a:gd name="connsiteX39" fmla="*/ 103695 w 1543572"/>
                <a:gd name="connsiteY39" fmla="*/ 203446 h 329184"/>
                <a:gd name="connsiteX40" fmla="*/ 64086 w 1543572"/>
                <a:gd name="connsiteY40" fmla="*/ 329183 h 329184"/>
                <a:gd name="connsiteX41" fmla="*/ 167780 w 1543572"/>
                <a:gd name="connsiteY41" fmla="*/ 251472 h 329184"/>
                <a:gd name="connsiteX42" fmla="*/ 271473 w 1543572"/>
                <a:gd name="connsiteY42" fmla="*/ 329183 h 329184"/>
                <a:gd name="connsiteX43" fmla="*/ 231864 w 1543572"/>
                <a:gd name="connsiteY43" fmla="*/ 203446 h 329184"/>
                <a:gd name="connsiteX44" fmla="*/ 335559 w 1543572"/>
                <a:gd name="connsiteY44" fmla="*/ 125737 h 329184"/>
                <a:gd name="connsiteX45" fmla="*/ 207386 w 1543572"/>
                <a:gd name="connsiteY45" fmla="*/ 125738 h 329184"/>
                <a:gd name="connsiteX46" fmla="*/ 0 w 1543572"/>
                <a:gd name="connsiteY46" fmla="*/ 0 h 329184"/>
                <a:gd name="connsiteX47" fmla="*/ 167780 w 1543572"/>
                <a:gd name="connsiteY47" fmla="*/ 0 h 329184"/>
                <a:gd name="connsiteX48" fmla="*/ 128173 w 1543572"/>
                <a:gd name="connsiteY48" fmla="*/ 125738 h 329184"/>
                <a:gd name="connsiteX49" fmla="*/ 0 w 1543572"/>
                <a:gd name="connsiteY49" fmla="*/ 125737 h 3291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543572" h="329184">
                  <a:moveTo>
                    <a:pt x="1375793" y="0"/>
                  </a:moveTo>
                  <a:lnTo>
                    <a:pt x="1543572" y="0"/>
                  </a:lnTo>
                  <a:lnTo>
                    <a:pt x="1543572" y="125737"/>
                  </a:lnTo>
                  <a:lnTo>
                    <a:pt x="1415399" y="125738"/>
                  </a:lnTo>
                  <a:close/>
                  <a:moveTo>
                    <a:pt x="167780" y="0"/>
                  </a:moveTo>
                  <a:lnTo>
                    <a:pt x="570451" y="0"/>
                  </a:lnTo>
                  <a:lnTo>
                    <a:pt x="530844" y="125738"/>
                  </a:lnTo>
                  <a:lnTo>
                    <a:pt x="402671" y="125737"/>
                  </a:lnTo>
                  <a:lnTo>
                    <a:pt x="506366" y="203446"/>
                  </a:lnTo>
                  <a:lnTo>
                    <a:pt x="466757" y="329183"/>
                  </a:lnTo>
                  <a:lnTo>
                    <a:pt x="570451" y="251472"/>
                  </a:lnTo>
                  <a:lnTo>
                    <a:pt x="674144" y="329183"/>
                  </a:lnTo>
                  <a:lnTo>
                    <a:pt x="634535" y="203446"/>
                  </a:lnTo>
                  <a:lnTo>
                    <a:pt x="738230" y="125737"/>
                  </a:lnTo>
                  <a:lnTo>
                    <a:pt x="610057" y="125738"/>
                  </a:lnTo>
                  <a:lnTo>
                    <a:pt x="570451" y="0"/>
                  </a:lnTo>
                  <a:lnTo>
                    <a:pt x="973122" y="0"/>
                  </a:lnTo>
                  <a:lnTo>
                    <a:pt x="933515" y="125738"/>
                  </a:lnTo>
                  <a:lnTo>
                    <a:pt x="805342" y="125737"/>
                  </a:lnTo>
                  <a:lnTo>
                    <a:pt x="909037" y="203446"/>
                  </a:lnTo>
                  <a:lnTo>
                    <a:pt x="869428" y="329183"/>
                  </a:lnTo>
                  <a:lnTo>
                    <a:pt x="973122" y="251472"/>
                  </a:lnTo>
                  <a:lnTo>
                    <a:pt x="1076815" y="329183"/>
                  </a:lnTo>
                  <a:lnTo>
                    <a:pt x="1037206" y="203446"/>
                  </a:lnTo>
                  <a:lnTo>
                    <a:pt x="1140901" y="125737"/>
                  </a:lnTo>
                  <a:lnTo>
                    <a:pt x="1012728" y="125738"/>
                  </a:lnTo>
                  <a:lnTo>
                    <a:pt x="973122" y="0"/>
                  </a:lnTo>
                  <a:lnTo>
                    <a:pt x="1375793" y="0"/>
                  </a:lnTo>
                  <a:lnTo>
                    <a:pt x="1336186" y="125738"/>
                  </a:lnTo>
                  <a:lnTo>
                    <a:pt x="1208013" y="125737"/>
                  </a:lnTo>
                  <a:lnTo>
                    <a:pt x="1311708" y="203446"/>
                  </a:lnTo>
                  <a:lnTo>
                    <a:pt x="1272099" y="329183"/>
                  </a:lnTo>
                  <a:lnTo>
                    <a:pt x="1375793" y="251472"/>
                  </a:lnTo>
                  <a:lnTo>
                    <a:pt x="1479486" y="329183"/>
                  </a:lnTo>
                  <a:lnTo>
                    <a:pt x="1439877" y="203446"/>
                  </a:lnTo>
                  <a:lnTo>
                    <a:pt x="1543572" y="125737"/>
                  </a:lnTo>
                  <a:lnTo>
                    <a:pt x="1543572" y="329184"/>
                  </a:lnTo>
                  <a:lnTo>
                    <a:pt x="0" y="329184"/>
                  </a:lnTo>
                  <a:lnTo>
                    <a:pt x="0" y="125737"/>
                  </a:lnTo>
                  <a:lnTo>
                    <a:pt x="103695" y="203446"/>
                  </a:lnTo>
                  <a:lnTo>
                    <a:pt x="64086" y="329183"/>
                  </a:lnTo>
                  <a:lnTo>
                    <a:pt x="167780" y="251472"/>
                  </a:lnTo>
                  <a:lnTo>
                    <a:pt x="271473" y="329183"/>
                  </a:lnTo>
                  <a:lnTo>
                    <a:pt x="231864" y="203446"/>
                  </a:lnTo>
                  <a:lnTo>
                    <a:pt x="335559" y="125737"/>
                  </a:lnTo>
                  <a:lnTo>
                    <a:pt x="207386" y="125738"/>
                  </a:lnTo>
                  <a:close/>
                  <a:moveTo>
                    <a:pt x="0" y="0"/>
                  </a:moveTo>
                  <a:lnTo>
                    <a:pt x="167780" y="0"/>
                  </a:lnTo>
                  <a:lnTo>
                    <a:pt x="128173" y="125738"/>
                  </a:lnTo>
                  <a:lnTo>
                    <a:pt x="0" y="125737"/>
                  </a:lnTo>
                  <a:close/>
                </a:path>
              </a:pathLst>
            </a:custGeom>
            <a:solidFill>
              <a:schemeClr val="bg1"/>
            </a:solidFill>
            <a:ln>
              <a:noFill/>
            </a:ln>
            <a:effectLst/>
          </xdr:spPr>
          <xdr:style>
            <a:lnRef idx="2">
              <a:schemeClr val="accent6"/>
            </a:lnRef>
            <a:fillRef idx="1">
              <a:schemeClr val="lt1"/>
            </a:fillRef>
            <a:effectRef idx="0">
              <a:schemeClr val="accent6"/>
            </a:effectRef>
            <a:fontRef idx="minor">
              <a:schemeClr val="dk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sp macro="" textlink="">
        <xdr:nvSpPr>
          <xdr:cNvPr id="13" name="Star: 5 Points 12">
            <a:extLst>
              <a:ext uri="{FF2B5EF4-FFF2-40B4-BE49-F238E27FC236}">
                <a16:creationId xmlns:a16="http://schemas.microsoft.com/office/drawing/2014/main" id="{A1A7A0D4-E8A6-4878-9F8F-413AA59DAB60}"/>
              </a:ext>
            </a:extLst>
          </xdr:cNvPr>
          <xdr:cNvSpPr/>
        </xdr:nvSpPr>
        <xdr:spPr>
          <a:xfrm>
            <a:off x="11984547" y="488849"/>
            <a:ext cx="315310" cy="302173"/>
          </a:xfrm>
          <a:prstGeom prst="star5">
            <a:avLst/>
          </a:pr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Star: 5 Points 85">
            <a:extLst>
              <a:ext uri="{FF2B5EF4-FFF2-40B4-BE49-F238E27FC236}">
                <a16:creationId xmlns:a16="http://schemas.microsoft.com/office/drawing/2014/main" id="{FC4714FD-D93D-4986-B91A-FAA334D2F6A9}"/>
              </a:ext>
            </a:extLst>
          </xdr:cNvPr>
          <xdr:cNvSpPr/>
        </xdr:nvSpPr>
        <xdr:spPr>
          <a:xfrm>
            <a:off x="12395638" y="488849"/>
            <a:ext cx="315310" cy="302173"/>
          </a:xfrm>
          <a:prstGeom prst="star5">
            <a:avLst/>
          </a:pr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Star: 5 Points 86">
            <a:extLst>
              <a:ext uri="{FF2B5EF4-FFF2-40B4-BE49-F238E27FC236}">
                <a16:creationId xmlns:a16="http://schemas.microsoft.com/office/drawing/2014/main" id="{2B6A4E68-D6A4-4469-A79A-47D11F3AFB0B}"/>
              </a:ext>
            </a:extLst>
          </xdr:cNvPr>
          <xdr:cNvSpPr/>
        </xdr:nvSpPr>
        <xdr:spPr>
          <a:xfrm>
            <a:off x="12809377" y="489438"/>
            <a:ext cx="315310" cy="302173"/>
          </a:xfrm>
          <a:prstGeom prst="star5">
            <a:avLst/>
          </a:pr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Star: 5 Points 87">
            <a:extLst>
              <a:ext uri="{FF2B5EF4-FFF2-40B4-BE49-F238E27FC236}">
                <a16:creationId xmlns:a16="http://schemas.microsoft.com/office/drawing/2014/main" id="{289459AB-A795-48F9-AB86-045E50879F69}"/>
              </a:ext>
            </a:extLst>
          </xdr:cNvPr>
          <xdr:cNvSpPr/>
        </xdr:nvSpPr>
        <xdr:spPr>
          <a:xfrm>
            <a:off x="13216759" y="492672"/>
            <a:ext cx="315310" cy="302173"/>
          </a:xfrm>
          <a:prstGeom prst="star5">
            <a:avLst/>
          </a:prstGeom>
          <a:noFill/>
          <a:ln>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8</xdr:col>
      <xdr:colOff>85725</xdr:colOff>
      <xdr:row>12</xdr:row>
      <xdr:rowOff>46779</xdr:rowOff>
    </xdr:from>
    <xdr:ext cx="3752850" cy="490037"/>
    <xdr:sp macro="" textlink="">
      <xdr:nvSpPr>
        <xdr:cNvPr id="89" name="TextBox 88">
          <a:extLst>
            <a:ext uri="{FF2B5EF4-FFF2-40B4-BE49-F238E27FC236}">
              <a16:creationId xmlns:a16="http://schemas.microsoft.com/office/drawing/2014/main" id="{5B0A7C5F-FB18-44DA-9108-5A7AAB927B64}"/>
            </a:ext>
          </a:extLst>
        </xdr:cNvPr>
        <xdr:cNvSpPr txBox="1"/>
      </xdr:nvSpPr>
      <xdr:spPr>
        <a:xfrm>
          <a:off x="4810125" y="2513754"/>
          <a:ext cx="3752850" cy="490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Education</a:t>
          </a:r>
          <a:r>
            <a:rPr lang="lv-LV" sz="1400" b="0">
              <a:solidFill>
                <a:srgbClr val="2A2F4F"/>
              </a:solidFill>
              <a:latin typeface="Segoe UI" panose="020B0502040204020203" pitchFamily="34" charset="0"/>
              <a:cs typeface="Segoe UI" panose="020B0502040204020203" pitchFamily="34" charset="0"/>
            </a:rPr>
            <a:t> </a:t>
          </a:r>
          <a:r>
            <a:rPr lang="lv-LV" sz="1400" b="1">
              <a:solidFill>
                <a:srgbClr val="2A2F4F"/>
              </a:solidFill>
              <a:latin typeface="Segoe UI" panose="020B0502040204020203" pitchFamily="34" charset="0"/>
              <a:cs typeface="Segoe UI" panose="020B0502040204020203" pitchFamily="34" charset="0"/>
            </a:rPr>
            <a:t>wise Attrition</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twoCellAnchor>
    <xdr:from>
      <xdr:col>18</xdr:col>
      <xdr:colOff>228518</xdr:colOff>
      <xdr:row>0</xdr:row>
      <xdr:rowOff>65430</xdr:rowOff>
    </xdr:from>
    <xdr:to>
      <xdr:col>19</xdr:col>
      <xdr:colOff>552368</xdr:colOff>
      <xdr:row>4</xdr:row>
      <xdr:rowOff>141630</xdr:rowOff>
    </xdr:to>
    <xdr:grpSp>
      <xdr:nvGrpSpPr>
        <xdr:cNvPr id="30" name="Group 29">
          <a:extLst>
            <a:ext uri="{FF2B5EF4-FFF2-40B4-BE49-F238E27FC236}">
              <a16:creationId xmlns:a16="http://schemas.microsoft.com/office/drawing/2014/main" id="{D8B177D8-277E-4EEF-B591-2546130C5611}"/>
            </a:ext>
          </a:extLst>
        </xdr:cNvPr>
        <xdr:cNvGrpSpPr/>
      </xdr:nvGrpSpPr>
      <xdr:grpSpPr>
        <a:xfrm>
          <a:off x="10858418" y="65430"/>
          <a:ext cx="914400" cy="914400"/>
          <a:chOff x="10911172" y="65430"/>
          <a:chExt cx="917331" cy="926123"/>
        </a:xfrm>
      </xdr:grpSpPr>
      <xdr:graphicFrame macro="">
        <xdr:nvGraphicFramePr>
          <xdr:cNvPr id="114" name="Chart 113">
            <a:extLst>
              <a:ext uri="{FF2B5EF4-FFF2-40B4-BE49-F238E27FC236}">
                <a16:creationId xmlns:a16="http://schemas.microsoft.com/office/drawing/2014/main" id="{398DD53E-EE10-4E92-BA0E-9D28266758B0}"/>
              </a:ext>
            </a:extLst>
          </xdr:cNvPr>
          <xdr:cNvGraphicFramePr>
            <a:graphicFrameLocks/>
          </xdr:cNvGraphicFramePr>
        </xdr:nvGraphicFramePr>
        <xdr:xfrm>
          <a:off x="10911172" y="65430"/>
          <a:ext cx="917331" cy="926123"/>
        </xdr:xfrm>
        <a:graphic>
          <a:graphicData uri="http://schemas.openxmlformats.org/drawingml/2006/chart">
            <c:chart xmlns:c="http://schemas.openxmlformats.org/drawingml/2006/chart" xmlns:r="http://schemas.openxmlformats.org/officeDocument/2006/relationships" r:id="rId9"/>
          </a:graphicData>
        </a:graphic>
      </xdr:graphicFrame>
      <xdr:sp macro="" textlink="KPIs!A22">
        <xdr:nvSpPr>
          <xdr:cNvPr id="64" name="TextBox 63">
            <a:extLst>
              <a:ext uri="{FF2B5EF4-FFF2-40B4-BE49-F238E27FC236}">
                <a16:creationId xmlns:a16="http://schemas.microsoft.com/office/drawing/2014/main" id="{B1EEE9E8-2489-49B3-B601-0A5E615BC002}"/>
              </a:ext>
            </a:extLst>
          </xdr:cNvPr>
          <xdr:cNvSpPr txBox="1"/>
        </xdr:nvSpPr>
        <xdr:spPr>
          <a:xfrm>
            <a:off x="11048114" y="383932"/>
            <a:ext cx="654251" cy="27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9F49AC-ACB5-471A-B4C4-253D5DACCBF8}" type="TxLink">
              <a:rPr lang="en-US" sz="1400" b="1" i="0" u="none" strike="noStrike">
                <a:solidFill>
                  <a:srgbClr val="00ABB3"/>
                </a:solidFill>
                <a:latin typeface="Segoe UI" panose="020B0502040204020203" pitchFamily="34" charset="0"/>
                <a:ea typeface="+mn-ea"/>
                <a:cs typeface="Segoe UI" panose="020B0502040204020203" pitchFamily="34" charset="0"/>
              </a:rPr>
              <a:pPr marL="0" indent="0" algn="ctr"/>
              <a:t>2,63</a:t>
            </a:fld>
            <a:endParaRPr lang="en-US" sz="2000" b="1" i="0" u="none" strike="noStrike">
              <a:solidFill>
                <a:srgbClr val="00ABB3"/>
              </a:solidFill>
              <a:latin typeface="Segoe UI" panose="020B0502040204020203" pitchFamily="34" charset="0"/>
              <a:ea typeface="+mn-ea"/>
              <a:cs typeface="Segoe UI" panose="020B0502040204020203" pitchFamily="34" charset="0"/>
            </a:endParaRPr>
          </a:p>
        </xdr:txBody>
      </xdr:sp>
    </xdr:grpSp>
    <xdr:clientData/>
  </xdr:twoCellAnchor>
  <xdr:oneCellAnchor>
    <xdr:from>
      <xdr:col>16</xdr:col>
      <xdr:colOff>247650</xdr:colOff>
      <xdr:row>12</xdr:row>
      <xdr:rowOff>65830</xdr:rowOff>
    </xdr:from>
    <xdr:ext cx="3352799" cy="457200"/>
    <xdr:sp macro="" textlink="">
      <xdr:nvSpPr>
        <xdr:cNvPr id="90" name="TextBox 89">
          <a:extLst>
            <a:ext uri="{FF2B5EF4-FFF2-40B4-BE49-F238E27FC236}">
              <a16:creationId xmlns:a16="http://schemas.microsoft.com/office/drawing/2014/main" id="{4D34B865-54B0-43B8-9F19-6301B8635AFD}"/>
            </a:ext>
          </a:extLst>
        </xdr:cNvPr>
        <xdr:cNvSpPr txBox="1"/>
      </xdr:nvSpPr>
      <xdr:spPr>
        <a:xfrm>
          <a:off x="9696450" y="2532805"/>
          <a:ext cx="3352799"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Attrition by Job Role</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twoCellAnchor>
    <xdr:from>
      <xdr:col>2</xdr:col>
      <xdr:colOff>38101</xdr:colOff>
      <xdr:row>0</xdr:row>
      <xdr:rowOff>123825</xdr:rowOff>
    </xdr:from>
    <xdr:to>
      <xdr:col>11</xdr:col>
      <xdr:colOff>238125</xdr:colOff>
      <xdr:row>4</xdr:row>
      <xdr:rowOff>104775</xdr:rowOff>
    </xdr:to>
    <xdr:sp macro="" textlink="">
      <xdr:nvSpPr>
        <xdr:cNvPr id="26" name="TextBox 25">
          <a:extLst>
            <a:ext uri="{FF2B5EF4-FFF2-40B4-BE49-F238E27FC236}">
              <a16:creationId xmlns:a16="http://schemas.microsoft.com/office/drawing/2014/main" id="{3FA6630B-4069-4719-80F8-55802C7913A2}"/>
            </a:ext>
          </a:extLst>
        </xdr:cNvPr>
        <xdr:cNvSpPr txBox="1"/>
      </xdr:nvSpPr>
      <xdr:spPr>
        <a:xfrm>
          <a:off x="1219201" y="123825"/>
          <a:ext cx="5514974"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lv-LV" sz="3000" b="1" cap="all">
              <a:solidFill>
                <a:srgbClr val="3C486B"/>
              </a:solidFill>
              <a:effectLst/>
              <a:latin typeface="Segoe UI" panose="020B0502040204020203" pitchFamily="34" charset="0"/>
              <a:ea typeface="+mn-ea"/>
              <a:cs typeface="Segoe UI" panose="020B0502040204020203" pitchFamily="34" charset="0"/>
            </a:rPr>
            <a:t>HR ANALYTICS</a:t>
          </a:r>
          <a:r>
            <a:rPr lang="lv-LV" sz="3000" b="1" cap="all" baseline="0">
              <a:solidFill>
                <a:srgbClr val="3C486B"/>
              </a:solidFill>
              <a:effectLst/>
              <a:latin typeface="Segoe UI" panose="020B0502040204020203" pitchFamily="34" charset="0"/>
              <a:ea typeface="+mn-ea"/>
              <a:cs typeface="Segoe UI" panose="020B0502040204020203" pitchFamily="34" charset="0"/>
            </a:rPr>
            <a:t> DASHBOARD</a:t>
          </a:r>
          <a:endParaRPr lang="en-US" sz="3000">
            <a:solidFill>
              <a:srgbClr val="3C486B"/>
            </a:solidFill>
            <a:effectLst/>
            <a:latin typeface="Segoe UI" panose="020B0502040204020203" pitchFamily="34" charset="0"/>
            <a:cs typeface="Segoe UI" panose="020B0502040204020203" pitchFamily="34" charset="0"/>
          </a:endParaRPr>
        </a:p>
      </xdr:txBody>
    </xdr:sp>
    <xdr:clientData/>
  </xdr:twoCellAnchor>
  <xdr:twoCellAnchor>
    <xdr:from>
      <xdr:col>0</xdr:col>
      <xdr:colOff>219075</xdr:colOff>
      <xdr:row>16</xdr:row>
      <xdr:rowOff>85725</xdr:rowOff>
    </xdr:from>
    <xdr:to>
      <xdr:col>7</xdr:col>
      <xdr:colOff>9525</xdr:colOff>
      <xdr:row>22</xdr:row>
      <xdr:rowOff>66675</xdr:rowOff>
    </xdr:to>
    <xdr:grpSp>
      <xdr:nvGrpSpPr>
        <xdr:cNvPr id="104" name="Group 103">
          <a:extLst>
            <a:ext uri="{FF2B5EF4-FFF2-40B4-BE49-F238E27FC236}">
              <a16:creationId xmlns:a16="http://schemas.microsoft.com/office/drawing/2014/main" id="{9156BC0D-BF53-4436-BC25-8387BF738171}"/>
            </a:ext>
          </a:extLst>
        </xdr:cNvPr>
        <xdr:cNvGrpSpPr/>
      </xdr:nvGrpSpPr>
      <xdr:grpSpPr>
        <a:xfrm>
          <a:off x="219075" y="3390900"/>
          <a:ext cx="3924300" cy="1238250"/>
          <a:chOff x="3224262" y="1143000"/>
          <a:chExt cx="5352634" cy="1643062"/>
        </a:xfrm>
      </xdr:grpSpPr>
      <xdr:graphicFrame macro="">
        <xdr:nvGraphicFramePr>
          <xdr:cNvPr id="105" name="Chart 104">
            <a:extLst>
              <a:ext uri="{FF2B5EF4-FFF2-40B4-BE49-F238E27FC236}">
                <a16:creationId xmlns:a16="http://schemas.microsoft.com/office/drawing/2014/main" id="{678EC3EB-9252-4109-8964-8E5178322254}"/>
              </a:ext>
            </a:extLst>
          </xdr:cNvPr>
          <xdr:cNvGraphicFramePr/>
        </xdr:nvGraphicFramePr>
        <xdr:xfrm>
          <a:off x="3224262" y="1143000"/>
          <a:ext cx="1714500" cy="1643062"/>
        </xdr:xfrm>
        <a:graphic>
          <a:graphicData uri="http://schemas.openxmlformats.org/drawingml/2006/chart">
            <c:chart xmlns:c="http://schemas.openxmlformats.org/drawingml/2006/chart" xmlns:r="http://schemas.openxmlformats.org/officeDocument/2006/relationships" r:id="rId10"/>
          </a:graphicData>
        </a:graphic>
      </xdr:graphicFrame>
      <xdr:sp macro="" textlink="KPIs!A15">
        <xdr:nvSpPr>
          <xdr:cNvPr id="106" name="TextBox 105">
            <a:extLst>
              <a:ext uri="{FF2B5EF4-FFF2-40B4-BE49-F238E27FC236}">
                <a16:creationId xmlns:a16="http://schemas.microsoft.com/office/drawing/2014/main" id="{CA1F7473-9399-4C03-B2E3-0C7695EE36A0}"/>
              </a:ext>
            </a:extLst>
          </xdr:cNvPr>
          <xdr:cNvSpPr txBox="1"/>
        </xdr:nvSpPr>
        <xdr:spPr>
          <a:xfrm>
            <a:off x="3656870" y="1733550"/>
            <a:ext cx="905552"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939AF8-93AC-4DF6-A6B9-AF1E6A6378CE}" type="TxLink">
              <a:rPr lang="en-US" sz="1600" b="1" i="0" u="none" strike="noStrike">
                <a:solidFill>
                  <a:srgbClr val="2A2F4F"/>
                </a:solidFill>
                <a:latin typeface="Segoe UI" panose="020B0502040204020203" pitchFamily="34" charset="0"/>
                <a:ea typeface="+mn-ea"/>
                <a:cs typeface="Segoe UI" panose="020B0502040204020203" pitchFamily="34" charset="0"/>
              </a:rPr>
              <a:pPr marL="0" indent="0" algn="ctr"/>
              <a:t>39%</a:t>
            </a:fld>
            <a:endParaRPr lang="lv-LV" sz="4000" b="1" i="0" u="none" strike="noStrike">
              <a:solidFill>
                <a:srgbClr val="2A2F4F"/>
              </a:solidFill>
              <a:latin typeface="Segoe UI" panose="020B0502040204020203" pitchFamily="34" charset="0"/>
              <a:ea typeface="+mn-ea"/>
              <a:cs typeface="Segoe UI" panose="020B0502040204020203" pitchFamily="34" charset="0"/>
            </a:endParaRPr>
          </a:p>
        </xdr:txBody>
      </xdr:sp>
      <xdr:graphicFrame macro="">
        <xdr:nvGraphicFramePr>
          <xdr:cNvPr id="109" name="Chart 108">
            <a:extLst>
              <a:ext uri="{FF2B5EF4-FFF2-40B4-BE49-F238E27FC236}">
                <a16:creationId xmlns:a16="http://schemas.microsoft.com/office/drawing/2014/main" id="{6D3C106C-E5B6-4BE6-A999-93850CC737FB}"/>
              </a:ext>
            </a:extLst>
          </xdr:cNvPr>
          <xdr:cNvGraphicFramePr/>
        </xdr:nvGraphicFramePr>
        <xdr:xfrm>
          <a:off x="6862396" y="1143000"/>
          <a:ext cx="1714500" cy="1643062"/>
        </xdr:xfrm>
        <a:graphic>
          <a:graphicData uri="http://schemas.openxmlformats.org/drawingml/2006/chart">
            <c:chart xmlns:c="http://schemas.openxmlformats.org/drawingml/2006/chart" xmlns:r="http://schemas.openxmlformats.org/officeDocument/2006/relationships" r:id="rId11"/>
          </a:graphicData>
        </a:graphic>
      </xdr:graphicFrame>
      <xdr:sp macro="" textlink="KPIs!B15">
        <xdr:nvSpPr>
          <xdr:cNvPr id="110" name="TextBox 109">
            <a:extLst>
              <a:ext uri="{FF2B5EF4-FFF2-40B4-BE49-F238E27FC236}">
                <a16:creationId xmlns:a16="http://schemas.microsoft.com/office/drawing/2014/main" id="{F7C1C3E8-AEE6-4A20-B310-2F2B300B2C0D}"/>
              </a:ext>
            </a:extLst>
          </xdr:cNvPr>
          <xdr:cNvSpPr txBox="1"/>
        </xdr:nvSpPr>
        <xdr:spPr>
          <a:xfrm>
            <a:off x="7238738" y="1733550"/>
            <a:ext cx="974387"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160DAB-218A-41E7-9D06-041D6DC7D5E8}" type="TxLink">
              <a:rPr lang="en-US" sz="1600" b="1" i="0" u="none" strike="noStrike">
                <a:solidFill>
                  <a:srgbClr val="2A2F4F"/>
                </a:solidFill>
                <a:latin typeface="Segoe UI" panose="020B0502040204020203" pitchFamily="34" charset="0"/>
                <a:ea typeface="+mn-ea"/>
                <a:cs typeface="Segoe UI" panose="020B0502040204020203" pitchFamily="34" charset="0"/>
              </a:rPr>
              <a:pPr marL="0" indent="0" algn="ctr"/>
              <a:t>61%</a:t>
            </a:fld>
            <a:endParaRPr lang="lv-LV" sz="1600" b="1" i="0" u="none" strike="noStrike">
              <a:solidFill>
                <a:srgbClr val="2A2F4F"/>
              </a:solidFill>
              <a:latin typeface="Segoe UI" panose="020B0502040204020203" pitchFamily="34" charset="0"/>
              <a:ea typeface="+mn-ea"/>
              <a:cs typeface="Segoe UI" panose="020B0502040204020203" pitchFamily="34" charset="0"/>
            </a:endParaRPr>
          </a:p>
        </xdr:txBody>
      </xdr:sp>
    </xdr:grpSp>
    <xdr:clientData/>
  </xdr:twoCellAnchor>
  <xdr:twoCellAnchor editAs="oneCell">
    <xdr:from>
      <xdr:col>2</xdr:col>
      <xdr:colOff>266700</xdr:colOff>
      <xdr:row>19</xdr:row>
      <xdr:rowOff>9525</xdr:rowOff>
    </xdr:from>
    <xdr:to>
      <xdr:col>3</xdr:col>
      <xdr:colOff>380999</xdr:colOff>
      <xdr:row>22</xdr:row>
      <xdr:rowOff>85724</xdr:rowOff>
    </xdr:to>
    <xdr:pic>
      <xdr:nvPicPr>
        <xdr:cNvPr id="27" name="Picture 26">
          <a:extLst>
            <a:ext uri="{FF2B5EF4-FFF2-40B4-BE49-F238E27FC236}">
              <a16:creationId xmlns:a16="http://schemas.microsoft.com/office/drawing/2014/main" id="{1A03331C-0000-4D18-8DA5-1DD3749BBF97}"/>
            </a:ext>
          </a:extLst>
        </xdr:cNvPr>
        <xdr:cNvPicPr>
          <a:picLocks noChangeAspect="1"/>
        </xdr:cNvPicPr>
      </xdr:nvPicPr>
      <xdr:blipFill>
        <a:blip xmlns:r="http://schemas.openxmlformats.org/officeDocument/2006/relationships" r:embed="rId12"/>
        <a:stretch>
          <a:fillRect/>
        </a:stretch>
      </xdr:blipFill>
      <xdr:spPr>
        <a:xfrm>
          <a:off x="1447800" y="3943350"/>
          <a:ext cx="704849" cy="704849"/>
        </a:xfrm>
        <a:prstGeom prst="rect">
          <a:avLst/>
        </a:prstGeom>
      </xdr:spPr>
    </xdr:pic>
    <xdr:clientData/>
  </xdr:twoCellAnchor>
  <xdr:twoCellAnchor editAs="oneCell">
    <xdr:from>
      <xdr:col>3</xdr:col>
      <xdr:colOff>428624</xdr:colOff>
      <xdr:row>19</xdr:row>
      <xdr:rowOff>9523</xdr:rowOff>
    </xdr:from>
    <xdr:to>
      <xdr:col>4</xdr:col>
      <xdr:colOff>542162</xdr:colOff>
      <xdr:row>22</xdr:row>
      <xdr:rowOff>84961</xdr:rowOff>
    </xdr:to>
    <xdr:pic>
      <xdr:nvPicPr>
        <xdr:cNvPr id="29" name="Picture 28">
          <a:extLst>
            <a:ext uri="{FF2B5EF4-FFF2-40B4-BE49-F238E27FC236}">
              <a16:creationId xmlns:a16="http://schemas.microsoft.com/office/drawing/2014/main" id="{3CECDA3B-AC5A-4E94-ADA5-8F86E48427F9}"/>
            </a:ext>
          </a:extLst>
        </xdr:cNvPr>
        <xdr:cNvPicPr>
          <a:picLocks noChangeAspect="1"/>
        </xdr:cNvPicPr>
      </xdr:nvPicPr>
      <xdr:blipFill>
        <a:blip xmlns:r="http://schemas.openxmlformats.org/officeDocument/2006/relationships" r:embed="rId13"/>
        <a:stretch>
          <a:fillRect/>
        </a:stretch>
      </xdr:blipFill>
      <xdr:spPr>
        <a:xfrm>
          <a:off x="2200274" y="3943348"/>
          <a:ext cx="704088" cy="704088"/>
        </a:xfrm>
        <a:prstGeom prst="rect">
          <a:avLst/>
        </a:prstGeom>
      </xdr:spPr>
    </xdr:pic>
    <xdr:clientData/>
  </xdr:twoCellAnchor>
  <xdr:twoCellAnchor editAs="oneCell">
    <xdr:from>
      <xdr:col>2</xdr:col>
      <xdr:colOff>260349</xdr:colOff>
      <xdr:row>14</xdr:row>
      <xdr:rowOff>164284</xdr:rowOff>
    </xdr:from>
    <xdr:to>
      <xdr:col>4</xdr:col>
      <xdr:colOff>571500</xdr:colOff>
      <xdr:row>17</xdr:row>
      <xdr:rowOff>180976</xdr:rowOff>
    </xdr:to>
    <mc:AlternateContent xmlns:mc="http://schemas.openxmlformats.org/markup-compatibility/2006" xmlns:a14="http://schemas.microsoft.com/office/drawing/2010/main">
      <mc:Choice Requires="a14">
        <xdr:graphicFrame macro="">
          <xdr:nvGraphicFramePr>
            <xdr:cNvPr id="111" name="Gender 1">
              <a:extLst>
                <a:ext uri="{FF2B5EF4-FFF2-40B4-BE49-F238E27FC236}">
                  <a16:creationId xmlns:a16="http://schemas.microsoft.com/office/drawing/2014/main" id="{DCE14408-2723-496F-ADE9-D3FC7DD2214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41449" y="3050359"/>
              <a:ext cx="1492251" cy="645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409575</xdr:colOff>
      <xdr:row>13</xdr:row>
      <xdr:rowOff>190500</xdr:rowOff>
    </xdr:from>
    <xdr:to>
      <xdr:col>15</xdr:col>
      <xdr:colOff>161925</xdr:colOff>
      <xdr:row>22</xdr:row>
      <xdr:rowOff>152400</xdr:rowOff>
    </xdr:to>
    <xdr:graphicFrame macro="">
      <xdr:nvGraphicFramePr>
        <xdr:cNvPr id="112" name="Chart 111">
          <a:extLst>
            <a:ext uri="{FF2B5EF4-FFF2-40B4-BE49-F238E27FC236}">
              <a16:creationId xmlns:a16="http://schemas.microsoft.com/office/drawing/2014/main" id="{A2456ED4-D3D5-49C1-8A2F-F0EC9A2CD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200025</xdr:colOff>
      <xdr:row>24</xdr:row>
      <xdr:rowOff>11878</xdr:rowOff>
    </xdr:from>
    <xdr:to>
      <xdr:col>7</xdr:col>
      <xdr:colOff>47625</xdr:colOff>
      <xdr:row>33</xdr:row>
      <xdr:rowOff>76193</xdr:rowOff>
    </xdr:to>
    <xdr:sp macro="" textlink="">
      <xdr:nvSpPr>
        <xdr:cNvPr id="117" name="Rectangle: Rounded Corners 116">
          <a:extLst>
            <a:ext uri="{FF2B5EF4-FFF2-40B4-BE49-F238E27FC236}">
              <a16:creationId xmlns:a16="http://schemas.microsoft.com/office/drawing/2014/main" id="{07076CF6-E630-47FD-A826-52F0BDFF08CD}"/>
            </a:ext>
          </a:extLst>
        </xdr:cNvPr>
        <xdr:cNvSpPr/>
      </xdr:nvSpPr>
      <xdr:spPr>
        <a:xfrm>
          <a:off x="200025" y="4993453"/>
          <a:ext cx="3981450" cy="195026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xdr:from>
      <xdr:col>7</xdr:col>
      <xdr:colOff>285750</xdr:colOff>
      <xdr:row>24</xdr:row>
      <xdr:rowOff>11878</xdr:rowOff>
    </xdr:from>
    <xdr:to>
      <xdr:col>15</xdr:col>
      <xdr:colOff>228599</xdr:colOff>
      <xdr:row>33</xdr:row>
      <xdr:rowOff>76193</xdr:rowOff>
    </xdr:to>
    <xdr:sp macro="" textlink="">
      <xdr:nvSpPr>
        <xdr:cNvPr id="120" name="Rectangle: Rounded Corners 119">
          <a:extLst>
            <a:ext uri="{FF2B5EF4-FFF2-40B4-BE49-F238E27FC236}">
              <a16:creationId xmlns:a16="http://schemas.microsoft.com/office/drawing/2014/main" id="{018D7C05-06D0-4665-AB4A-0678B8E9D534}"/>
            </a:ext>
          </a:extLst>
        </xdr:cNvPr>
        <xdr:cNvSpPr/>
      </xdr:nvSpPr>
      <xdr:spPr>
        <a:xfrm>
          <a:off x="4419600" y="4993453"/>
          <a:ext cx="4667249" cy="1950265"/>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xdr:from>
      <xdr:col>15</xdr:col>
      <xdr:colOff>476250</xdr:colOff>
      <xdr:row>26</xdr:row>
      <xdr:rowOff>95250</xdr:rowOff>
    </xdr:from>
    <xdr:to>
      <xdr:col>23</xdr:col>
      <xdr:colOff>104776</xdr:colOff>
      <xdr:row>33</xdr:row>
      <xdr:rowOff>76193</xdr:rowOff>
    </xdr:to>
    <xdr:sp macro="" textlink="">
      <xdr:nvSpPr>
        <xdr:cNvPr id="121" name="Rectangle: Rounded Corners 120">
          <a:extLst>
            <a:ext uri="{FF2B5EF4-FFF2-40B4-BE49-F238E27FC236}">
              <a16:creationId xmlns:a16="http://schemas.microsoft.com/office/drawing/2014/main" id="{D2010F3D-4AEB-49BB-BA13-7836059FE6F6}"/>
            </a:ext>
          </a:extLst>
        </xdr:cNvPr>
        <xdr:cNvSpPr/>
      </xdr:nvSpPr>
      <xdr:spPr>
        <a:xfrm>
          <a:off x="9334500" y="5495925"/>
          <a:ext cx="4352926" cy="1447793"/>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GB" sz="3200">
            <a:latin typeface="Arial" panose="020B0604020202020204" pitchFamily="34" charset="0"/>
            <a:cs typeface="Arial" panose="020B0604020202020204" pitchFamily="34" charset="0"/>
          </a:endParaRPr>
        </a:p>
      </xdr:txBody>
    </xdr:sp>
    <xdr:clientData/>
  </xdr:twoCellAnchor>
  <xdr:twoCellAnchor>
    <xdr:from>
      <xdr:col>7</xdr:col>
      <xdr:colOff>361950</xdr:colOff>
      <xdr:row>25</xdr:row>
      <xdr:rowOff>171450</xdr:rowOff>
    </xdr:from>
    <xdr:to>
      <xdr:col>15</xdr:col>
      <xdr:colOff>190499</xdr:colOff>
      <xdr:row>33</xdr:row>
      <xdr:rowOff>123825</xdr:rowOff>
    </xdr:to>
    <xdr:graphicFrame macro="">
      <xdr:nvGraphicFramePr>
        <xdr:cNvPr id="122" name="Chart 121">
          <a:extLst>
            <a:ext uri="{FF2B5EF4-FFF2-40B4-BE49-F238E27FC236}">
              <a16:creationId xmlns:a16="http://schemas.microsoft.com/office/drawing/2014/main" id="{52C0123D-2C8C-4044-AD16-5BF80784B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8</xdr:col>
      <xdr:colOff>85725</xdr:colOff>
      <xdr:row>24</xdr:row>
      <xdr:rowOff>8679</xdr:rowOff>
    </xdr:from>
    <xdr:ext cx="3752850" cy="490037"/>
    <xdr:sp macro="" textlink="">
      <xdr:nvSpPr>
        <xdr:cNvPr id="123" name="TextBox 122">
          <a:extLst>
            <a:ext uri="{FF2B5EF4-FFF2-40B4-BE49-F238E27FC236}">
              <a16:creationId xmlns:a16="http://schemas.microsoft.com/office/drawing/2014/main" id="{95704692-A8A2-48A9-8C8F-4D7C6DA39BDC}"/>
            </a:ext>
          </a:extLst>
        </xdr:cNvPr>
        <xdr:cNvSpPr txBox="1"/>
      </xdr:nvSpPr>
      <xdr:spPr>
        <a:xfrm>
          <a:off x="4810125" y="4990254"/>
          <a:ext cx="3752850" cy="490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Attrition</a:t>
          </a:r>
          <a:r>
            <a:rPr lang="lv-LV" sz="1400" b="1" baseline="0">
              <a:solidFill>
                <a:srgbClr val="2A2F4F"/>
              </a:solidFill>
              <a:latin typeface="Segoe UI" panose="020B0502040204020203" pitchFamily="34" charset="0"/>
              <a:cs typeface="Segoe UI" panose="020B0502040204020203" pitchFamily="34" charset="0"/>
            </a:rPr>
            <a:t> by Age Group</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twoCellAnchor>
    <xdr:from>
      <xdr:col>15</xdr:col>
      <xdr:colOff>571499</xdr:colOff>
      <xdr:row>13</xdr:row>
      <xdr:rowOff>180975</xdr:rowOff>
    </xdr:from>
    <xdr:to>
      <xdr:col>22</xdr:col>
      <xdr:colOff>581026</xdr:colOff>
      <xdr:row>25</xdr:row>
      <xdr:rowOff>19050</xdr:rowOff>
    </xdr:to>
    <xdr:graphicFrame macro="">
      <xdr:nvGraphicFramePr>
        <xdr:cNvPr id="65" name="Chart 64">
          <a:extLst>
            <a:ext uri="{FF2B5EF4-FFF2-40B4-BE49-F238E27FC236}">
              <a16:creationId xmlns:a16="http://schemas.microsoft.com/office/drawing/2014/main" id="{B7A16BFD-4E05-4433-8A64-78E53F233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0</xdr:col>
      <xdr:colOff>495300</xdr:colOff>
      <xdr:row>24</xdr:row>
      <xdr:rowOff>8679</xdr:rowOff>
    </xdr:from>
    <xdr:ext cx="3752850" cy="490037"/>
    <xdr:sp macro="" textlink="">
      <xdr:nvSpPr>
        <xdr:cNvPr id="66" name="TextBox 65">
          <a:extLst>
            <a:ext uri="{FF2B5EF4-FFF2-40B4-BE49-F238E27FC236}">
              <a16:creationId xmlns:a16="http://schemas.microsoft.com/office/drawing/2014/main" id="{AE497503-C58C-482E-B908-5C0E1AB533F6}"/>
            </a:ext>
          </a:extLst>
        </xdr:cNvPr>
        <xdr:cNvSpPr txBox="1"/>
      </xdr:nvSpPr>
      <xdr:spPr>
        <a:xfrm>
          <a:off x="495300" y="4990254"/>
          <a:ext cx="3752850" cy="490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Filter Panel</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oneCellAnchor>
    <xdr:from>
      <xdr:col>16</xdr:col>
      <xdr:colOff>190500</xdr:colOff>
      <xdr:row>26</xdr:row>
      <xdr:rowOff>94404</xdr:rowOff>
    </xdr:from>
    <xdr:ext cx="3752850" cy="490037"/>
    <xdr:sp macro="" textlink="">
      <xdr:nvSpPr>
        <xdr:cNvPr id="67" name="TextBox 66">
          <a:extLst>
            <a:ext uri="{FF2B5EF4-FFF2-40B4-BE49-F238E27FC236}">
              <a16:creationId xmlns:a16="http://schemas.microsoft.com/office/drawing/2014/main" id="{07C6B54C-146D-427E-AE8C-7404512E02C5}"/>
            </a:ext>
          </a:extLst>
        </xdr:cNvPr>
        <xdr:cNvSpPr txBox="1"/>
      </xdr:nvSpPr>
      <xdr:spPr>
        <a:xfrm>
          <a:off x="9639300" y="5495079"/>
          <a:ext cx="3752850" cy="4900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lv-LV" sz="1400" b="1">
              <a:solidFill>
                <a:srgbClr val="2A2F4F"/>
              </a:solidFill>
              <a:latin typeface="Segoe UI" panose="020B0502040204020203" pitchFamily="34" charset="0"/>
              <a:cs typeface="Segoe UI" panose="020B0502040204020203" pitchFamily="34" charset="0"/>
            </a:rPr>
            <a:t>Attrition</a:t>
          </a:r>
          <a:r>
            <a:rPr lang="lv-LV" sz="1400" b="1" baseline="0">
              <a:solidFill>
                <a:srgbClr val="2A2F4F"/>
              </a:solidFill>
              <a:latin typeface="Segoe UI" panose="020B0502040204020203" pitchFamily="34" charset="0"/>
              <a:cs typeface="Segoe UI" panose="020B0502040204020203" pitchFamily="34" charset="0"/>
            </a:rPr>
            <a:t> by Marital Status</a:t>
          </a:r>
          <a:endParaRPr lang="en-GB" sz="1400" b="1">
            <a:solidFill>
              <a:srgbClr val="2A2F4F"/>
            </a:solidFill>
            <a:latin typeface="Segoe UI" panose="020B0502040204020203" pitchFamily="34" charset="0"/>
            <a:cs typeface="Segoe UI" panose="020B0502040204020203" pitchFamily="34" charset="0"/>
          </a:endParaRPr>
        </a:p>
      </xdr:txBody>
    </xdr:sp>
    <xdr:clientData/>
  </xdr:oneCellAnchor>
  <xdr:twoCellAnchor>
    <xdr:from>
      <xdr:col>15</xdr:col>
      <xdr:colOff>581025</xdr:colOff>
      <xdr:row>27</xdr:row>
      <xdr:rowOff>161925</xdr:rowOff>
    </xdr:from>
    <xdr:to>
      <xdr:col>23</xdr:col>
      <xdr:colOff>9525</xdr:colOff>
      <xdr:row>33</xdr:row>
      <xdr:rowOff>66675</xdr:rowOff>
    </xdr:to>
    <xdr:graphicFrame macro="">
      <xdr:nvGraphicFramePr>
        <xdr:cNvPr id="68" name="Chart 67">
          <a:extLst>
            <a:ext uri="{FF2B5EF4-FFF2-40B4-BE49-F238E27FC236}">
              <a16:creationId xmlns:a16="http://schemas.microsoft.com/office/drawing/2014/main" id="{50AF03B8-D74C-46A9-81F3-B9C5E74F2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xdr:col>
      <xdr:colOff>200025</xdr:colOff>
      <xdr:row>24</xdr:row>
      <xdr:rowOff>104775</xdr:rowOff>
    </xdr:from>
    <xdr:to>
      <xdr:col>6</xdr:col>
      <xdr:colOff>381000</xdr:colOff>
      <xdr:row>32</xdr:row>
      <xdr:rowOff>161925</xdr:rowOff>
    </xdr:to>
    <mc:AlternateContent xmlns:mc="http://schemas.openxmlformats.org/markup-compatibility/2006" xmlns:a14="http://schemas.microsoft.com/office/drawing/2010/main">
      <mc:Choice Requires="a14">
        <xdr:graphicFrame macro="">
          <xdr:nvGraphicFramePr>
            <xdr:cNvPr id="69" name="Education Field 1">
              <a:extLst>
                <a:ext uri="{FF2B5EF4-FFF2-40B4-BE49-F238E27FC236}">
                  <a16:creationId xmlns:a16="http://schemas.microsoft.com/office/drawing/2014/main" id="{5A6F5125-CE78-4804-BB9E-D520A1B87F2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971675" y="5086350"/>
              <a:ext cx="1952625"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447675</xdr:colOff>
      <xdr:row>26</xdr:row>
      <xdr:rowOff>107128</xdr:rowOff>
    </xdr:from>
    <xdr:to>
      <xdr:col>3</xdr:col>
      <xdr:colOff>66675</xdr:colOff>
      <xdr:row>32</xdr:row>
      <xdr:rowOff>11877</xdr:rowOff>
    </xdr:to>
    <mc:AlternateContent xmlns:mc="http://schemas.openxmlformats.org/markup-compatibility/2006" xmlns:a14="http://schemas.microsoft.com/office/drawing/2010/main">
      <mc:Choice Requires="a14">
        <xdr:graphicFrame macro="">
          <xdr:nvGraphicFramePr>
            <xdr:cNvPr id="70" name="Department 1">
              <a:extLst>
                <a:ext uri="{FF2B5EF4-FFF2-40B4-BE49-F238E27FC236}">
                  <a16:creationId xmlns:a16="http://schemas.microsoft.com/office/drawing/2014/main" id="{43A92AD2-F6D3-41D9-9C67-B340C973C96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47675" y="5507803"/>
              <a:ext cx="13906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dija Jezova" refreshedDate="45066.833262615743" createdVersion="8" refreshedVersion="8" minRefreshableVersion="3" recordCount="1470" xr:uid="{601F46DB-EE6B-48EB-8299-4CCE51B40202}">
  <cacheSource type="worksheet">
    <worksheetSource name="Table_HR_DATA_Excel_xlsx___Data"/>
  </cacheSource>
  <cacheFields count="45">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ttrition Rate" numFmtId="0" formula="'CF_attrition count'/'Employee Count'" databaseField="0"/>
  </cacheFields>
  <extLst>
    <ext xmlns:x14="http://schemas.microsoft.com/office/spreadsheetml/2009/9/main" uri="{725AE2AE-9491-48be-B2B4-4EB974FC3084}">
      <x14:pivotCacheDefinition pivotCacheId="33665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A6852-EF74-4D3D-A856-51312880765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71:B75"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4">
    <i>
      <x/>
    </i>
    <i>
      <x v="1"/>
    </i>
    <i>
      <x v="2"/>
    </i>
    <i t="grand">
      <x/>
    </i>
  </rowItems>
  <colItems count="1">
    <i/>
  </colItems>
  <dataFields count="1">
    <dataField name="Sum of CF_attrition count" fld="17" baseField="0" baseItem="0"/>
  </dataFields>
  <chartFormats count="2">
    <chartFormat chart="0"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F9C5B-6AD1-46AE-A3C1-4E3D0F66900C}" name="PivotTable6"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4">
  <location ref="A55:B61" firstHeaderRow="1" firstDataRow="1" firstDataCol="1"/>
  <pivotFields count="45">
    <pivotField showAll="0">
      <items count="3">
        <item x="1"/>
        <item x="0"/>
        <item t="default"/>
      </items>
    </pivotField>
    <pivotField showAll="0"/>
    <pivotField axis="axisRow" showAll="0">
      <items count="6">
        <item x="4"/>
        <item x="2"/>
        <item x="0"/>
        <item x="1"/>
        <item x="3"/>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Sum of CF_attrition count" fld="17" baseField="0" baseItem="0"/>
  </dataFields>
  <chartFormats count="5">
    <chartFormat chart="0"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99EB2-015A-45D9-BBB0-A3D3E57A074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A22" firstHeaderRow="1"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Average of Job Satisfaction" fld="29" subtotal="average" baseField="0" baseItem="9"/>
  </dataFields>
  <formats count="2">
    <format dxfId="129">
      <pivotArea outline="0" collapsedLevelsAreSubtotals="1"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CE90CF-A0F2-49B7-9C1B-A6509E5A4E5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8:B34"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D4A831-3BAB-4AE6-AE59-3259A6264CF4}"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E4" firstHeaderRow="0" firstDataRow="1" firstDataCol="0"/>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Items count="1">
    <i/>
  </rowItems>
  <colFields count="1">
    <field x="-2"/>
  </colFields>
  <colItems count="5">
    <i>
      <x/>
    </i>
    <i i="1">
      <x v="1"/>
    </i>
    <i i="2">
      <x v="2"/>
    </i>
    <i i="3">
      <x v="3"/>
    </i>
    <i i="4">
      <x v="4"/>
    </i>
  </colItems>
  <dataFields count="5">
    <dataField name="Total Employees" fld="7" subtotal="count" baseField="0" baseItem="12500"/>
    <dataField name="Active Employees" fld="20" baseField="0" baseItem="0"/>
    <dataField name="Attrition " fld="17" baseField="0" baseItem="0"/>
    <dataField name="Attrition Rate " fld="44" baseField="0" baseItem="0" numFmtId="9"/>
    <dataField name="Average Age" fld="16" subtotal="average" baseField="0" baseItem="1" numFmtId="1"/>
  </dataFields>
  <formats count="2">
    <format dxfId="131">
      <pivotArea outline="0" collapsedLevelsAreSubtotals="1" fieldPosition="0">
        <references count="1">
          <reference field="4294967294" count="1" selected="0">
            <x v="4"/>
          </reference>
        </references>
      </pivotArea>
    </format>
    <format dxfId="13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8F2B64-7FE7-4341-B5B6-78A428D42B3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8:B11"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8"/>
  </rowFields>
  <rowItems count="3">
    <i>
      <x/>
    </i>
    <i>
      <x v="1"/>
    </i>
    <i t="grand">
      <x/>
    </i>
  </rowItems>
  <colItems count="1">
    <i/>
  </colItems>
  <dataFields count="1">
    <dataField name="Sum of Employee Number" fld="7" showDataAs="percentOfTotal" baseField="8" baseItem="0" numFmtId="9"/>
  </dataFields>
  <chartFormats count="12">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8" count="1" selected="0">
            <x v="0"/>
          </reference>
        </references>
      </pivotArea>
    </chartFormat>
    <chartFormat chart="4" format="5">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8" count="1" selected="0">
            <x v="0"/>
          </reference>
        </references>
      </pivotArea>
    </chartFormat>
    <chartFormat chart="11" format="1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8219D4-B89E-4F38-BBA5-CB1F908409D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7:B47" firstHeaderRow="1" firstDataRow="1" firstDataCol="1"/>
  <pivotFields count="45">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9"/>
  </rowFields>
  <rowItems count="10">
    <i>
      <x v="5"/>
    </i>
    <i>
      <x v="3"/>
    </i>
    <i>
      <x/>
    </i>
    <i>
      <x v="4"/>
    </i>
    <i>
      <x v="1"/>
    </i>
    <i>
      <x v="8"/>
    </i>
    <i>
      <x v="6"/>
    </i>
    <i>
      <x v="7"/>
    </i>
    <i>
      <x v="2"/>
    </i>
    <i t="grand">
      <x/>
    </i>
  </rowItems>
  <colItems count="1">
    <i/>
  </colItems>
  <dataFields count="1">
    <dataField name="Sum of CF_attrition count" fld="17" baseField="0" baseItem="0"/>
  </dataFields>
  <chartFormats count="3">
    <chartFormat chart="5"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FE0DC1-F700-46BA-9995-CA2FF270E23D}"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647945-98D6-4F34-BFED-FD9957159B31}" sourceName="Gender">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336659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1A13EB-CFC2-4DB6-A7DD-1154F3BFFA15}" sourceName="Department">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3366599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9C3F65A-2431-48AB-9598-1A49145A974A}" sourceName="Education Field">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33665990">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62E031-C131-4FA3-A48B-36B9142C58DE}" cache="Slicer_Gender" caption="Gender" style="SlicerStyleLight3" rowHeight="241300"/>
  <slicer name="Department" xr10:uid="{7355C534-848B-404A-9426-DD86D26B5F27}" cache="Slicer_Department" caption="Department" style="Slicer Style 1" rowHeight="241300"/>
  <slicer name="Education Field" xr10:uid="{BCAAD862-A4FC-40E7-BD07-8CB706C02BA5}" cache="Slicer_Education_Field" caption="Education Field"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49A356B-F25E-4EB5-8CBE-234B9BFC639B}" cache="Slicer_Gender" caption="Gender" columnCount="2" style="Slicer Style 1" rowHeight="241300"/>
  <slicer name="Department 1" xr10:uid="{88F0144D-C1FA-429C-BB7A-9CA18C0C829A}" cache="Slicer_Department" caption="Department" style="Slicer Style 1" rowHeight="241300"/>
  <slicer name="Education Field 1" xr10:uid="{5BE648C9-5F48-496B-9508-A0A9C7381305}" cache="Slicer_Education_Field" caption="Education Field"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B413E-76E9-4080-91DE-D60DEEDCE30C}" name="Table_HR_DATA_Excel_xlsx___Data" displayName="Table_HR_DATA_Excel_xlsx___Data" ref="A1:AR1471" tableType="queryTable" totalsRowShown="0">
  <autoFilter ref="A1:AR1471" xr:uid="{5FEB413E-76E9-4080-91DE-D60DEEDCE30C}"/>
  <tableColumns count="44">
    <tableColumn id="1" xr3:uid="{CF744A70-DABF-4B3C-A2E2-471FBAA91BB9}" uniqueName="1" name="Attrition" queryTableFieldId="1" dataDxfId="144"/>
    <tableColumn id="2" xr3:uid="{4BD72EED-8188-46E7-B591-4D0104B5AA8F}" uniqueName="2" name="Business Travel" queryTableFieldId="2" dataDxfId="143"/>
    <tableColumn id="3" xr3:uid="{03D84621-021A-4A7B-81CD-F9319EA3CC96}" uniqueName="3" name="CF_age band" queryTableFieldId="3" dataDxfId="142"/>
    <tableColumn id="4" xr3:uid="{1B8F9EF4-B989-46C1-BB76-5C5C14B2DD8E}" uniqueName="4" name="CF_attrition label" queryTableFieldId="4" dataDxfId="141"/>
    <tableColumn id="5" xr3:uid="{B350245F-8688-44ED-ACA3-1E56275AF154}" uniqueName="5" name="Department" queryTableFieldId="5" dataDxfId="140"/>
    <tableColumn id="6" xr3:uid="{E86C98FD-0284-4FCD-9EED-8DBE349E500A}" uniqueName="6" name="Education Field" queryTableFieldId="6" dataDxfId="139"/>
    <tableColumn id="7" xr3:uid="{7D9F20F1-95B6-42BE-80BB-59D1D46F0C0D}" uniqueName="7" name="emp no" queryTableFieldId="7" dataDxfId="138"/>
    <tableColumn id="8" xr3:uid="{A93DE950-BBD1-4E68-ACF1-B69EB282F3DB}" uniqueName="8" name="Employee Number" queryTableFieldId="8"/>
    <tableColumn id="9" xr3:uid="{3ED6E129-F886-4519-A7B4-7A6BE9E7C1D3}" uniqueName="9" name="Gender" queryTableFieldId="9" dataDxfId="137"/>
    <tableColumn id="10" xr3:uid="{F16527A8-7F49-4D28-BE18-3E1BF187A146}" uniqueName="10" name="Job Role" queryTableFieldId="10" dataDxfId="136"/>
    <tableColumn id="11" xr3:uid="{55D4B65B-5492-4147-BEB7-27B869FFB6EF}" uniqueName="11" name="Marital Status" queryTableFieldId="11" dataDxfId="135"/>
    <tableColumn id="12" xr3:uid="{74C8C130-196E-400B-9B68-ADE6F93A0065}" uniqueName="12" name="Over Time" queryTableFieldId="12" dataDxfId="134"/>
    <tableColumn id="13" xr3:uid="{6912F5AC-4BBE-4D70-8FC9-4F1488056D99}" uniqueName="13" name="Over18" queryTableFieldId="13" dataDxfId="133"/>
    <tableColumn id="14" xr3:uid="{5484F463-F655-4DE4-9788-5917B31D0A0B}" uniqueName="14" name="Training Times Last Year" queryTableFieldId="14"/>
    <tableColumn id="15" xr3:uid="{CD386B52-9A0A-4F95-B61D-AC72539DB8B7}" uniqueName="15" name="-2" queryTableFieldId="15"/>
    <tableColumn id="16" xr3:uid="{9D87319F-9192-4945-ABC9-3872509829D0}" uniqueName="16" name="0" queryTableFieldId="16"/>
    <tableColumn id="17" xr3:uid="{E542D1C6-A518-4712-9E43-640532A0F6E2}" uniqueName="17" name="Age" queryTableFieldId="17"/>
    <tableColumn id="18" xr3:uid="{868EDC03-9A95-4BC6-B252-7BA8D03C2C9E}" uniqueName="18" name="CF_attrition count" queryTableFieldId="18"/>
    <tableColumn id="19" xr3:uid="{A5DF0262-45FF-403F-A06F-D194DEBECFC6}" uniqueName="19" name="CF_attrition counts" queryTableFieldId="19"/>
    <tableColumn id="20" xr3:uid="{3E5AD0CC-2ABC-4DED-8627-26DCEC487586}" uniqueName="20" name="CF_attrition rate" queryTableFieldId="20"/>
    <tableColumn id="21" xr3:uid="{6947B5AE-CB47-4907-93C3-B2B4CE1F45B5}" uniqueName="21" name="CF_current Employee" queryTableFieldId="21"/>
    <tableColumn id="22" xr3:uid="{4AB39D47-5E8C-4A3F-93BF-788830307B62}" uniqueName="22" name="Daily Rate" queryTableFieldId="22"/>
    <tableColumn id="23" xr3:uid="{24318CC8-E5B0-478F-8AB7-6DDB2429A595}" uniqueName="23" name="Distance From Home" queryTableFieldId="23"/>
    <tableColumn id="24" xr3:uid="{59CE26EA-552A-4898-BA24-3C55F1D3A0D4}" uniqueName="24" name="Education" queryTableFieldId="24" dataDxfId="132"/>
    <tableColumn id="25" xr3:uid="{34422A26-1B6F-457F-A868-FD8799544F13}" uniqueName="25" name="Employee Count" queryTableFieldId="25"/>
    <tableColumn id="26" xr3:uid="{A27F333B-C260-46EA-823E-CE977FC21963}" uniqueName="26" name="Environment Satisfaction" queryTableFieldId="26"/>
    <tableColumn id="27" xr3:uid="{68EF5044-EA53-4A15-918C-D19A02185059}" uniqueName="27" name="Hourly Rate" queryTableFieldId="27"/>
    <tableColumn id="28" xr3:uid="{1D336BF0-4C2A-4996-9FAC-0832B5CA8C9B}" uniqueName="28" name="Job Involvement" queryTableFieldId="28"/>
    <tableColumn id="29" xr3:uid="{77A6C21C-A9B0-4D3D-962B-F1BF209B06CA}" uniqueName="29" name="Job Level" queryTableFieldId="29"/>
    <tableColumn id="30" xr3:uid="{AD1ABB97-E351-4B1B-B0C4-A969D878C7E0}" uniqueName="30" name="Job Satisfaction" queryTableFieldId="30"/>
    <tableColumn id="31" xr3:uid="{9BCEE05A-6FEE-4DF5-A7AB-48DF81EBB4F1}" uniqueName="31" name="Monthly Income" queryTableFieldId="31"/>
    <tableColumn id="32" xr3:uid="{20E0FDBA-D7C6-4F07-8BA2-86C3E6EC2037}" uniqueName="32" name="Monthly Rate" queryTableFieldId="32"/>
    <tableColumn id="33" xr3:uid="{97F41EA1-8D5C-4BB7-A69D-083F05374D99}" uniqueName="33" name="Num Companies Worked" queryTableFieldId="33"/>
    <tableColumn id="34" xr3:uid="{7D4F7075-20D9-4252-A30E-A361C09D6069}" uniqueName="34" name="Percent Salary Hike" queryTableFieldId="34"/>
    <tableColumn id="35" xr3:uid="{C311F061-7B02-460B-8F00-3B29160998BE}" uniqueName="35" name="Performance Rating" queryTableFieldId="35"/>
    <tableColumn id="36" xr3:uid="{9BFD82DC-7E6A-4452-81A0-18BF1C72C776}" uniqueName="36" name="Relationship Satisfaction" queryTableFieldId="36"/>
    <tableColumn id="37" xr3:uid="{B68EFB8C-EFEC-45A1-932F-833CC3CC2F1A}" uniqueName="37" name="Standard Hours" queryTableFieldId="37"/>
    <tableColumn id="38" xr3:uid="{B229C51E-017B-4B8E-B671-6628A455A64F}" uniqueName="38" name="Stock Option Level" queryTableFieldId="38"/>
    <tableColumn id="39" xr3:uid="{CB6979FF-F1FE-4028-BC23-01C92FA07FEB}" uniqueName="39" name="Total Working Years" queryTableFieldId="39"/>
    <tableColumn id="40" xr3:uid="{51E496DF-9245-41A9-B3E0-5B1C24B2B989}" uniqueName="40" name="Work Life Balance" queryTableFieldId="40"/>
    <tableColumn id="41" xr3:uid="{2A4FE8D3-10A4-481D-89E3-8CE89E17EF46}" uniqueName="41" name="Years At Company" queryTableFieldId="41"/>
    <tableColumn id="42" xr3:uid="{E52DC1FB-A8D4-4977-A145-49C02BB5F5C5}" uniqueName="42" name="Years In Current Role" queryTableFieldId="42"/>
    <tableColumn id="43" xr3:uid="{F996D53E-2A24-4B41-9248-F7206938261D}" uniqueName="43" name="Years Since Last Promotion" queryTableFieldId="43"/>
    <tableColumn id="44" xr3:uid="{6DEE2105-F11D-421A-9620-E63A76B285D1}"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83C6-1699-4B2A-900B-41ABEF056277}">
  <dimension ref="A1:AR1471"/>
  <sheetViews>
    <sheetView workbookViewId="0">
      <selection activeCell="D28" sqref="D28"/>
    </sheetView>
  </sheetViews>
  <sheetFormatPr defaultRowHeight="15" x14ac:dyDescent="0.25"/>
  <cols>
    <col min="1" max="1" width="10.28515625" bestFit="1" customWidth="1"/>
    <col min="2" max="2" width="16" bestFit="1" customWidth="1"/>
    <col min="3" max="3" width="14" bestFit="1" customWidth="1"/>
    <col min="4" max="4" width="17.5703125" bestFit="1" customWidth="1"/>
    <col min="5" max="5" width="13.28515625" bestFit="1" customWidth="1"/>
    <col min="6" max="6" width="16.140625" bestFit="1" customWidth="1"/>
    <col min="7" max="7" width="10.42578125" bestFit="1" customWidth="1"/>
    <col min="8" max="8" width="19" bestFit="1" customWidth="1"/>
    <col min="9" max="9" width="9.28515625" bestFit="1" customWidth="1"/>
    <col min="10" max="10" width="22.85546875" bestFit="1" customWidth="1"/>
    <col min="11" max="11" width="14.85546875" bestFit="1" customWidth="1"/>
    <col min="12" max="12" width="11.7109375" bestFit="1" customWidth="1"/>
    <col min="13" max="13" width="9.28515625" bestFit="1" customWidth="1"/>
    <col min="14" max="14" width="23.5703125" bestFit="1" customWidth="1"/>
    <col min="15" max="15" width="4.85546875" bestFit="1" customWidth="1"/>
    <col min="16" max="16" width="4.28515625" bestFit="1" customWidth="1"/>
    <col min="17" max="17" width="6.42578125" bestFit="1" customWidth="1"/>
    <col min="18" max="18" width="18.42578125" bestFit="1" customWidth="1"/>
    <col min="19" max="19" width="19.28515625" bestFit="1" customWidth="1"/>
    <col min="20" max="20" width="16.85546875" bestFit="1" customWidth="1"/>
    <col min="21" max="21" width="21.28515625" bestFit="1" customWidth="1"/>
    <col min="22" max="22" width="11.5703125" bestFit="1" customWidth="1"/>
    <col min="23" max="23" width="20.7109375" bestFit="1" customWidth="1"/>
    <col min="24" max="24" width="15.85546875" bestFit="1" customWidth="1"/>
    <col min="25" max="25" width="17.28515625" bestFit="1" customWidth="1"/>
    <col min="26" max="26" width="24.7109375" bestFit="1" customWidth="1"/>
    <col min="27" max="27" width="13" bestFit="1" customWidth="1"/>
    <col min="28" max="28" width="17.28515625" bestFit="1" customWidth="1"/>
    <col min="29" max="29" width="10.85546875" bestFit="1" customWidth="1"/>
    <col min="30" max="30" width="16.42578125" bestFit="1" customWidth="1"/>
    <col min="31" max="31" width="17.28515625" bestFit="1" customWidth="1"/>
    <col min="32" max="32" width="14.7109375" bestFit="1" customWidth="1"/>
    <col min="33" max="33" width="24.5703125" bestFit="1" customWidth="1"/>
    <col min="34" max="34" width="19.5703125" bestFit="1" customWidth="1"/>
    <col min="35" max="35" width="20.140625" bestFit="1" customWidth="1"/>
    <col min="36" max="36" width="24.140625" bestFit="1" customWidth="1"/>
    <col min="37" max="37" width="16.28515625" bestFit="1" customWidth="1"/>
    <col min="38" max="38" width="19" bestFit="1" customWidth="1"/>
    <col min="39" max="39" width="20.140625" bestFit="1" customWidth="1"/>
    <col min="40" max="40" width="18.28515625" bestFit="1" customWidth="1"/>
    <col min="41" max="41" width="18.7109375" bestFit="1" customWidth="1"/>
    <col min="42" max="42" width="20.85546875" bestFit="1" customWidth="1"/>
    <col min="43" max="43" width="26.140625" bestFit="1" customWidth="1"/>
    <col min="44" max="44" width="24.425781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A145-AC2C-4F9F-B5A3-89842957A41C}">
  <dimension ref="A3:E75"/>
  <sheetViews>
    <sheetView workbookViewId="0">
      <selection activeCell="G26" sqref="G26"/>
    </sheetView>
  </sheetViews>
  <sheetFormatPr defaultRowHeight="15" x14ac:dyDescent="0.25"/>
  <cols>
    <col min="1" max="1" width="13.140625" bestFit="1" customWidth="1"/>
    <col min="2" max="2" width="23.85546875" bestFit="1" customWidth="1"/>
    <col min="3" max="3" width="9" bestFit="1" customWidth="1"/>
    <col min="4" max="4" width="13.5703125" bestFit="1" customWidth="1"/>
    <col min="5" max="5" width="12.140625" bestFit="1" customWidth="1"/>
    <col min="6" max="6" width="7.7109375" bestFit="1" customWidth="1"/>
    <col min="7" max="7" width="11.28515625" bestFit="1" customWidth="1"/>
  </cols>
  <sheetData>
    <row r="3" spans="1:5" x14ac:dyDescent="0.25">
      <c r="A3" t="s">
        <v>1554</v>
      </c>
      <c r="B3" t="s">
        <v>1556</v>
      </c>
      <c r="C3" t="s">
        <v>1555</v>
      </c>
      <c r="D3" t="s">
        <v>1558</v>
      </c>
      <c r="E3" t="s">
        <v>1557</v>
      </c>
    </row>
    <row r="4" spans="1:5" x14ac:dyDescent="0.25">
      <c r="A4" s="7">
        <v>1470</v>
      </c>
      <c r="B4" s="7">
        <v>1233</v>
      </c>
      <c r="C4" s="7">
        <v>237</v>
      </c>
      <c r="D4" s="2">
        <v>0.16122448979591836</v>
      </c>
      <c r="E4" s="1">
        <v>36.923809523809524</v>
      </c>
    </row>
    <row r="8" spans="1:5" x14ac:dyDescent="0.25">
      <c r="A8" s="8" t="s">
        <v>1559</v>
      </c>
      <c r="B8" t="s">
        <v>1561</v>
      </c>
    </row>
    <row r="9" spans="1:5" x14ac:dyDescent="0.25">
      <c r="A9" s="9" t="s">
        <v>51</v>
      </c>
      <c r="B9" s="2">
        <v>0.39351114332595222</v>
      </c>
    </row>
    <row r="10" spans="1:5" x14ac:dyDescent="0.25">
      <c r="A10" s="9" t="s">
        <v>62</v>
      </c>
      <c r="B10" s="2">
        <v>0.60648885667404773</v>
      </c>
    </row>
    <row r="11" spans="1:5" x14ac:dyDescent="0.25">
      <c r="A11" s="9" t="s">
        <v>1560</v>
      </c>
      <c r="B11" s="2">
        <v>1</v>
      </c>
    </row>
    <row r="14" spans="1:5" x14ac:dyDescent="0.25">
      <c r="A14" s="9" t="s">
        <v>1562</v>
      </c>
      <c r="B14" t="s">
        <v>1563</v>
      </c>
    </row>
    <row r="15" spans="1:5" x14ac:dyDescent="0.25">
      <c r="A15" s="10">
        <f>IFERROR(GETPIVOTDATA("Employee Number",$A$8,"Gender","Female"),"0%")</f>
        <v>0.39351114332595222</v>
      </c>
      <c r="B15" s="10">
        <f>IFERROR(GETPIVOTDATA("Employee Number",$A$8,"Gender","Male"),"0%")</f>
        <v>0.60648885667404773</v>
      </c>
    </row>
    <row r="21" spans="1:3" ht="30" x14ac:dyDescent="0.25">
      <c r="A21" s="11" t="s">
        <v>1564</v>
      </c>
    </row>
    <row r="22" spans="1:3" x14ac:dyDescent="0.25">
      <c r="A22" s="4">
        <v>2.6265306122448981</v>
      </c>
    </row>
    <row r="24" spans="1:3" x14ac:dyDescent="0.25">
      <c r="A24" t="s">
        <v>1565</v>
      </c>
      <c r="B24" s="5">
        <f>GETPIVOTDATA("Job Satisfaction",$A$21)</f>
        <v>2.6265306122448981</v>
      </c>
      <c r="C24" s="3"/>
    </row>
    <row r="25" spans="1:3" x14ac:dyDescent="0.25">
      <c r="A25" t="s">
        <v>1566</v>
      </c>
      <c r="B25" s="5">
        <f>4-B24</f>
        <v>1.3734693877551019</v>
      </c>
      <c r="C25" s="3"/>
    </row>
    <row r="28" spans="1:3" x14ac:dyDescent="0.25">
      <c r="A28" s="8" t="s">
        <v>1559</v>
      </c>
      <c r="B28" t="s">
        <v>1567</v>
      </c>
    </row>
    <row r="29" spans="1:3" x14ac:dyDescent="0.25">
      <c r="A29" s="9" t="s">
        <v>134</v>
      </c>
      <c r="B29" s="7">
        <v>5</v>
      </c>
    </row>
    <row r="30" spans="1:3" x14ac:dyDescent="0.25">
      <c r="A30" s="9" t="s">
        <v>65</v>
      </c>
      <c r="B30" s="7">
        <v>31</v>
      </c>
    </row>
    <row r="31" spans="1:3" x14ac:dyDescent="0.25">
      <c r="A31" s="9" t="s">
        <v>55</v>
      </c>
      <c r="B31" s="7">
        <v>44</v>
      </c>
    </row>
    <row r="32" spans="1:3" x14ac:dyDescent="0.25">
      <c r="A32" s="9" t="s">
        <v>71</v>
      </c>
      <c r="B32" s="7">
        <v>58</v>
      </c>
    </row>
    <row r="33" spans="1:2" x14ac:dyDescent="0.25">
      <c r="A33" s="9" t="s">
        <v>77</v>
      </c>
      <c r="B33" s="7">
        <v>99</v>
      </c>
    </row>
    <row r="34" spans="1:2" x14ac:dyDescent="0.25">
      <c r="A34" s="9" t="s">
        <v>1560</v>
      </c>
      <c r="B34" s="7">
        <v>237</v>
      </c>
    </row>
    <row r="37" spans="1:2" x14ac:dyDescent="0.25">
      <c r="A37" s="8" t="s">
        <v>1559</v>
      </c>
      <c r="B37" t="s">
        <v>1567</v>
      </c>
    </row>
    <row r="38" spans="1:2" x14ac:dyDescent="0.25">
      <c r="A38" s="9" t="s">
        <v>101</v>
      </c>
      <c r="B38" s="7">
        <v>2</v>
      </c>
    </row>
    <row r="39" spans="1:2" x14ac:dyDescent="0.25">
      <c r="A39" s="9" t="s">
        <v>95</v>
      </c>
      <c r="B39" s="7">
        <v>5</v>
      </c>
    </row>
    <row r="40" spans="1:2" x14ac:dyDescent="0.25">
      <c r="A40" s="9" t="s">
        <v>83</v>
      </c>
      <c r="B40" s="7">
        <v>9</v>
      </c>
    </row>
    <row r="41" spans="1:2" x14ac:dyDescent="0.25">
      <c r="A41" s="9" t="s">
        <v>81</v>
      </c>
      <c r="B41" s="7">
        <v>10</v>
      </c>
    </row>
    <row r="42" spans="1:2" x14ac:dyDescent="0.25">
      <c r="A42" s="9" t="s">
        <v>163</v>
      </c>
      <c r="B42" s="7">
        <v>12</v>
      </c>
    </row>
    <row r="43" spans="1:2" x14ac:dyDescent="0.25">
      <c r="A43" s="9" t="s">
        <v>99</v>
      </c>
      <c r="B43" s="7">
        <v>33</v>
      </c>
    </row>
    <row r="44" spans="1:2" x14ac:dyDescent="0.25">
      <c r="A44" s="9" t="s">
        <v>63</v>
      </c>
      <c r="B44" s="7">
        <v>47</v>
      </c>
    </row>
    <row r="45" spans="1:2" x14ac:dyDescent="0.25">
      <c r="A45" s="9" t="s">
        <v>52</v>
      </c>
      <c r="B45" s="7">
        <v>57</v>
      </c>
    </row>
    <row r="46" spans="1:2" x14ac:dyDescent="0.25">
      <c r="A46" s="9" t="s">
        <v>68</v>
      </c>
      <c r="B46" s="7">
        <v>62</v>
      </c>
    </row>
    <row r="47" spans="1:2" x14ac:dyDescent="0.25">
      <c r="A47" s="9" t="s">
        <v>1560</v>
      </c>
      <c r="B47" s="7">
        <v>237</v>
      </c>
    </row>
    <row r="50" spans="1:2" x14ac:dyDescent="0.25">
      <c r="A50" s="9"/>
      <c r="B50" s="7"/>
    </row>
    <row r="51" spans="1:2" x14ac:dyDescent="0.25">
      <c r="A51" s="9"/>
      <c r="B51" s="7"/>
    </row>
    <row r="52" spans="1:2" x14ac:dyDescent="0.25">
      <c r="A52" s="9"/>
      <c r="B52" s="7"/>
    </row>
    <row r="55" spans="1:2" x14ac:dyDescent="0.25">
      <c r="A55" s="8" t="s">
        <v>1559</v>
      </c>
      <c r="B55" t="s">
        <v>1567</v>
      </c>
    </row>
    <row r="56" spans="1:2" x14ac:dyDescent="0.25">
      <c r="A56" s="9" t="s">
        <v>92</v>
      </c>
      <c r="B56" s="7">
        <v>38</v>
      </c>
    </row>
    <row r="57" spans="1:2" x14ac:dyDescent="0.25">
      <c r="A57" s="9" t="s">
        <v>69</v>
      </c>
      <c r="B57" s="7">
        <v>112</v>
      </c>
    </row>
    <row r="58" spans="1:2" x14ac:dyDescent="0.25">
      <c r="A58" s="9" t="s">
        <v>46</v>
      </c>
      <c r="B58" s="7">
        <v>51</v>
      </c>
    </row>
    <row r="59" spans="1:2" x14ac:dyDescent="0.25">
      <c r="A59" s="9" t="s">
        <v>58</v>
      </c>
      <c r="B59" s="7">
        <v>25</v>
      </c>
    </row>
    <row r="60" spans="1:2" x14ac:dyDescent="0.25">
      <c r="A60" s="9" t="s">
        <v>75</v>
      </c>
      <c r="B60" s="7">
        <v>11</v>
      </c>
    </row>
    <row r="61" spans="1:2" x14ac:dyDescent="0.25">
      <c r="A61" s="9" t="s">
        <v>1560</v>
      </c>
      <c r="B61" s="7">
        <v>237</v>
      </c>
    </row>
    <row r="71" spans="1:2" x14ac:dyDescent="0.25">
      <c r="A71" s="8" t="s">
        <v>1559</v>
      </c>
      <c r="B71" t="s">
        <v>1567</v>
      </c>
    </row>
    <row r="72" spans="1:2" x14ac:dyDescent="0.25">
      <c r="A72" s="9" t="s">
        <v>79</v>
      </c>
      <c r="B72" s="7">
        <v>33</v>
      </c>
    </row>
    <row r="73" spans="1:2" x14ac:dyDescent="0.25">
      <c r="A73" s="9" t="s">
        <v>64</v>
      </c>
      <c r="B73" s="7">
        <v>84</v>
      </c>
    </row>
    <row r="74" spans="1:2" x14ac:dyDescent="0.25">
      <c r="A74" s="9" t="s">
        <v>53</v>
      </c>
      <c r="B74" s="7">
        <v>120</v>
      </c>
    </row>
    <row r="75" spans="1:2" x14ac:dyDescent="0.25">
      <c r="A75" s="9" t="s">
        <v>1560</v>
      </c>
      <c r="B75" s="7">
        <v>237</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A10"/>
  <sheetViews>
    <sheetView showGridLines="0" showRowColHeaders="0" tabSelected="1" zoomScaleNormal="100" workbookViewId="0">
      <selection activeCell="Z16" sqref="Z15:Z16"/>
    </sheetView>
  </sheetViews>
  <sheetFormatPr defaultColWidth="8.85546875" defaultRowHeight="16.5" x14ac:dyDescent="0.3"/>
  <cols>
    <col min="1" max="13" width="8.85546875" style="6"/>
    <col min="14" max="14" width="8.85546875" style="6" customWidth="1"/>
    <col min="15" max="16384" width="8.85546875" style="6"/>
  </cols>
  <sheetData>
    <row r="5" ht="15.75" customHeight="1" x14ac:dyDescent="0.3"/>
    <row r="6" ht="15" customHeight="1" x14ac:dyDescent="0.3"/>
    <row r="10" ht="15" customHeight="1" x14ac:dyDescent="0.3"/>
  </sheetData>
  <pageMargins left="0.7" right="0.7" top="0.75" bottom="0.75" header="0.3" footer="0.3"/>
  <pageSetup paperSize="9" scale="47"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F7DD0C-BD74-4649-9FAB-870D64CC64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Lidija Jezova</dc:creator>
  <cp:lastModifiedBy>Lidija Jezova</cp:lastModifiedBy>
  <cp:lastPrinted>2023-05-23T18:00:38Z</cp:lastPrinted>
  <dcterms:created xsi:type="dcterms:W3CDTF">2015-06-05T18:17:20Z</dcterms:created>
  <dcterms:modified xsi:type="dcterms:W3CDTF">2023-05-29T15:04:51Z</dcterms:modified>
</cp:coreProperties>
</file>